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jikeigroupcom.sharepoint.com/sites/KDT__2026-CounterCore/Shared Documents/資料/仕様書/"/>
    </mc:Choice>
  </mc:AlternateContent>
  <xr:revisionPtr revIDLastSave="38" documentId="8_{B2B51C71-0DD3-2643-861C-664A68D68795}" xr6:coauthVersionLast="47" xr6:coauthVersionMax="47" xr10:uidLastSave="{B8754185-DEBB-4DAC-8319-21E9C00E85F2}"/>
  <bookViews>
    <workbookView xWindow="0" yWindow="580" windowWidth="25600" windowHeight="15140" activeTab="3" xr2:uid="{00000000-000D-0000-FFFF-FFFF00000000}"/>
  </bookViews>
  <sheets>
    <sheet name="全体概要" sheetId="1" r:id="rId1"/>
    <sheet name="スケジュール" sheetId="2" r:id="rId2"/>
    <sheet name="モーション仕様" sheetId="3" r:id="rId3"/>
    <sheet name="プログラマー仕様" sheetId="4" r:id="rId4"/>
    <sheet name="モデラー仕様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" l="1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I6" i="1"/>
  <c r="F6" i="1"/>
  <c r="C6" i="1"/>
  <c r="A6" i="1"/>
</calcChain>
</file>

<file path=xl/sharedStrings.xml><?xml version="1.0" encoding="utf-8"?>
<sst xmlns="http://schemas.openxmlformats.org/spreadsheetml/2006/main" count="791" uniqueCount="505">
  <si>
    <t>学園祭向けブラッシュアップ 全体仕様・スケジュール</t>
  </si>
  <si>
    <t>基準日：2026年9月14日　パッケージ化：10月14日　展示当日：10月17日</t>
  </si>
  <si>
    <t>モーション項目</t>
  </si>
  <si>
    <t>PG工程</t>
  </si>
  <si>
    <t>パッケージ化</t>
  </si>
  <si>
    <t>展示当日</t>
  </si>
  <si>
    <t>担当者</t>
  </si>
  <si>
    <t>担当領域</t>
  </si>
  <si>
    <t>主な責任</t>
  </si>
  <si>
    <t>確認先／連携先</t>
  </si>
  <si>
    <t>全員共通の運用ルール</t>
  </si>
  <si>
    <t>内町</t>
  </si>
  <si>
    <t>プレイヤーモーション</t>
  </si>
  <si>
    <t>PL-01～PL-06の制作・修正・提出</t>
  </si>
  <si>
    <t>肴場、最終確認：山田</t>
  </si>
  <si>
    <t>1</t>
  </si>
  <si>
    <t>作業開始前に対象仕様IDと依存先を確認する。</t>
  </si>
  <si>
    <t>村吉</t>
  </si>
  <si>
    <t>モンスターモーション</t>
  </si>
  <si>
    <t>EN-01～EN-08の制作・修正・提出</t>
  </si>
  <si>
    <t>鹿原、最終確認：山田</t>
  </si>
  <si>
    <t>2</t>
  </si>
  <si>
    <t>モーション差し替え時は総尺、Root Motion、Notify変更を必ず共有する。</t>
  </si>
  <si>
    <t>鹿原</t>
  </si>
  <si>
    <t>モンスタープログラム</t>
  </si>
  <si>
    <t>モンスターAI、状態遷移、攻撃判定、モーション統合</t>
  </si>
  <si>
    <t>村吉、共通処理は肴場、最終確認：山田</t>
  </si>
  <si>
    <t>3</t>
  </si>
  <si>
    <t>仕様変更は口頭だけで終わらせず、該当行の要確認事項と状態を更新する。</t>
  </si>
  <si>
    <t>肴場</t>
  </si>
  <si>
    <t>プレイヤープログラム</t>
  </si>
  <si>
    <t>プレイヤー戦闘、入力、HUD、タイトル・操作説明</t>
  </si>
  <si>
    <t>内町、共通処理は鹿原、最終確認：山田</t>
  </si>
  <si>
    <t>4</t>
  </si>
  <si>
    <t>完了扱いは担当者の自己確認と連携先のゲーム内確認が終わった時点とする。</t>
  </si>
  <si>
    <t>山田</t>
  </si>
  <si>
    <t>デバッグ・最終調整</t>
  </si>
  <si>
    <t>仕様管理、総合デバッグ、優先順位判断、コード凍結、パッケージ化</t>
  </si>
  <si>
    <t>全員</t>
  </si>
  <si>
    <t>5</t>
  </si>
  <si>
    <t>10月13日以降は山田の承認なしにコード・アセットを変更しない。</t>
  </si>
  <si>
    <t>清水・村上・茨木</t>
  </si>
  <si>
    <t>モデル・UI</t>
  </si>
  <si>
    <t>モデル：清水・茨木／UI：村上・茨木／アセット由来のバグ：清水・茨木</t>
  </si>
  <si>
    <t>肴場・鹿原、最終確認：山田</t>
  </si>
  <si>
    <t>6</t>
  </si>
  <si>
    <t>10月14日のパッケージはバックアップを残し、展示端末で起動確認する。</t>
  </si>
  <si>
    <t>7</t>
  </si>
  <si>
    <t>重大バグは担当領域に関係なく即時共有し、山田が優先順位を決める。</t>
  </si>
  <si>
    <t>日付</t>
  </si>
  <si>
    <t>マイルストーン</t>
  </si>
  <si>
    <t>通過条件</t>
  </si>
  <si>
    <t>責任者</t>
  </si>
  <si>
    <t>8</t>
  </si>
  <si>
    <t>UI素材提出時はファイル名、画像サイズ、透過、余白、9-slice有無、差し替え対象を共有する。</t>
  </si>
  <si>
    <t>モーション最終提出</t>
  </si>
  <si>
    <t>PL・EN全モーションの最終版を受領</t>
  </si>
  <si>
    <t>内町・村吉</t>
  </si>
  <si>
    <t>9</t>
  </si>
  <si>
    <t>モデル差し替え時はSkeleton、ソケット、マテリアルスロット、形状変更の有無を共有する。</t>
  </si>
  <si>
    <t>モデル・UI最終提出</t>
  </si>
  <si>
    <t>モデルとUI素材の最終版を受領</t>
  </si>
  <si>
    <t>機能実装完了</t>
  </si>
  <si>
    <t>必須機能が統合ビルドで動作</t>
  </si>
  <si>
    <t>肴場・鹿原</t>
  </si>
  <si>
    <t>第1回デバッグ完了</t>
  </si>
  <si>
    <t>重大・高優先度バグが一覧化済み</t>
  </si>
  <si>
    <t>コード・アセット凍結</t>
  </si>
  <si>
    <t>パッケージ対象の変更を停止</t>
  </si>
  <si>
    <t>展示用ビルドとバックアップが起動確認済み</t>
  </si>
  <si>
    <t>学園祭展示</t>
  </si>
  <si>
    <t>展示端末で運用</t>
  </si>
  <si>
    <t>ブラッシュアップ スケジュール</t>
  </si>
  <si>
    <t>9月30日モーション最終提出、10月3日モデル・UI最終提出、10月5日機能統合完了、10月13日凍結、10月14日パッケージ化。10月15～16日は展示端末確認と緊急修正枠。</t>
  </si>
  <si>
    <t>ID</t>
  </si>
  <si>
    <t>区分</t>
  </si>
  <si>
    <t>作業</t>
  </si>
  <si>
    <t>主担当</t>
  </si>
  <si>
    <t>協力・確認</t>
  </si>
  <si>
    <t>開始</t>
  </si>
  <si>
    <t>終了</t>
  </si>
  <si>
    <t>日数</t>
  </si>
  <si>
    <t>依存</t>
  </si>
  <si>
    <t>成果物・完了条件</t>
  </si>
  <si>
    <t>状態</t>
  </si>
  <si>
    <t>MD-UI2</t>
  </si>
  <si>
    <t>モデラー</t>
  </si>
  <si>
    <t>UIブラッシュアップ・最終素材提出</t>
  </si>
  <si>
    <t>村上・茨木</t>
  </si>
  <si>
    <t>肴場・山田</t>
  </si>
  <si>
    <t>なし</t>
  </si>
  <si>
    <t>MD-01～MD-04完了</t>
  </si>
  <si>
    <t>未着手</t>
  </si>
  <si>
    <t>MD-MDL2</t>
  </si>
  <si>
    <t>モデルブラッシュアップ・最終素材提出</t>
  </si>
  <si>
    <t>清水・茨木</t>
  </si>
  <si>
    <t>内町・村吉・肴場・鹿原</t>
  </si>
  <si>
    <t>MD-05～MD-07完了</t>
  </si>
  <si>
    <t>PG-P2</t>
  </si>
  <si>
    <t>PG</t>
  </si>
  <si>
    <t>プレイヤー戦闘・コンボ・回避実装</t>
  </si>
  <si>
    <t>PG-04～PG-10、PG-20</t>
  </si>
  <si>
    <t>PG-E2</t>
  </si>
  <si>
    <t>モンスター状態・攻撃AI実装</t>
  </si>
  <si>
    <t>PG-11～PG-17</t>
  </si>
  <si>
    <t>PG-UI</t>
  </si>
  <si>
    <t>タイトル表示・回復薬HUD・操作説明画面</t>
  </si>
  <si>
    <t>PG-21～PG-23</t>
  </si>
  <si>
    <t>MOT-P4</t>
  </si>
  <si>
    <t>モーション</t>
  </si>
  <si>
    <t>プレイヤーモーション制作・ブラッシュアップ・最終提出</t>
  </si>
  <si>
    <t>PL-01～PL-06最終版</t>
  </si>
  <si>
    <t>MOT-E4</t>
  </si>
  <si>
    <t>モンスターモーション制作・ブラッシュアップ・最終提出</t>
  </si>
  <si>
    <t>EN-01～EN-08最終版</t>
  </si>
  <si>
    <t>INT-UI</t>
  </si>
  <si>
    <t>統合</t>
  </si>
  <si>
    <t>HPバー・攻撃ゲージUI素材適用</t>
  </si>
  <si>
    <t>村上・茨木／山田確認</t>
  </si>
  <si>
    <t>MD-UI2、PG-UI</t>
  </si>
  <si>
    <t>PG-27統合完了</t>
  </si>
  <si>
    <t>INT-MDL</t>
  </si>
  <si>
    <t>主要キャラクター・武器モデル適用確認</t>
  </si>
  <si>
    <t>清水・茨木／山田確認</t>
  </si>
  <si>
    <t>MD-05～MD-08統合完了</t>
  </si>
  <si>
    <t>INT-P</t>
  </si>
  <si>
    <t>プレイヤーモーション適用・Notify・SE同期</t>
  </si>
  <si>
    <t>MOT-P4（完成分から順次）</t>
  </si>
  <si>
    <t>プレイヤー統合完了</t>
  </si>
  <si>
    <t>INT-E</t>
  </si>
  <si>
    <t>モンスターモーション適用・判定・AI同期</t>
  </si>
  <si>
    <t>MOT-E4（完成分から順次）</t>
  </si>
  <si>
    <t>モンスター統合完了</t>
  </si>
  <si>
    <t>INT-C</t>
  </si>
  <si>
    <t>SE・ヒットストップ・共通演出統合</t>
  </si>
  <si>
    <t>INT-P、INT-E</t>
  </si>
  <si>
    <t>PG-18、PG-19統合完了</t>
  </si>
  <si>
    <t>MS-01</t>
  </si>
  <si>
    <t>INT-C、INT-UI、INT-MDL</t>
  </si>
  <si>
    <t>全必須機能が統合ビルドで動作</t>
  </si>
  <si>
    <t>◆</t>
  </si>
  <si>
    <t>DBG-01</t>
  </si>
  <si>
    <t>デバッグ</t>
  </si>
  <si>
    <t>第1回総合デバッグ</t>
  </si>
  <si>
    <t>重大・高優先度バグ一覧</t>
  </si>
  <si>
    <t>FIX-01</t>
  </si>
  <si>
    <t>修正</t>
  </si>
  <si>
    <t>バグ修正・演出とバランス調整</t>
  </si>
  <si>
    <t>内町・村吉／山田確認</t>
  </si>
  <si>
    <t>重大・高優先度バグ解消</t>
  </si>
  <si>
    <t>MD-FIX</t>
  </si>
  <si>
    <t>モデル・UIアセット由来のバグ対応</t>
  </si>
  <si>
    <t>村上・肴場・鹿原／山田確認</t>
  </si>
  <si>
    <t>MD-09の重大・高優先度不具合解消</t>
  </si>
  <si>
    <t>DBG-02</t>
  </si>
  <si>
    <t>最終回帰テスト・展示設定確認</t>
  </si>
  <si>
    <t>FIX-01、MD-FIX</t>
  </si>
  <si>
    <t>パッケージ化可能判定</t>
  </si>
  <si>
    <t>MS-02</t>
  </si>
  <si>
    <t>10月14日版の変更範囲を凍結</t>
  </si>
  <si>
    <t>PKG-01</t>
  </si>
  <si>
    <t>パッケージ</t>
  </si>
  <si>
    <t>展示版パッケージ化・起動確認</t>
  </si>
  <si>
    <t>肴場・鹿原・清水・茨木・村上</t>
  </si>
  <si>
    <t>展示用ビルドとバックアップ</t>
  </si>
  <si>
    <t>BUF-01</t>
  </si>
  <si>
    <t>展示準備</t>
  </si>
  <si>
    <t>展示端末確認・リハーサル・緊急修正枠</t>
  </si>
  <si>
    <t>展示端末で連続起動と操作確認</t>
  </si>
  <si>
    <t>EVT-01</t>
  </si>
  <si>
    <t>展示</t>
  </si>
  <si>
    <t>学園祭展示当日</t>
  </si>
  <si>
    <t>山田がビルド管理</t>
  </si>
  <si>
    <t>展示運用</t>
  </si>
  <si>
    <t>モーション仕様</t>
  </si>
  <si>
    <t>担当：内町（プレイヤー）、村吉（モンスター）。制作内容、技術条件、完了条件、連携事項を1行で確認できる構成です。</t>
  </si>
  <si>
    <t>仕様ID</t>
  </si>
  <si>
    <t>担当</t>
  </si>
  <si>
    <t>対象</t>
  </si>
  <si>
    <t>モーション／動作</t>
  </si>
  <si>
    <t>制作・修正内容</t>
  </si>
  <si>
    <t>タイミング・技術条件</t>
  </si>
  <si>
    <t>完了条件</t>
  </si>
  <si>
    <t>連携</t>
  </si>
  <si>
    <t>優先度</t>
  </si>
  <si>
    <t>最終期限</t>
  </si>
  <si>
    <t>PL-01</t>
  </si>
  <si>
    <t>プレイヤー</t>
  </si>
  <si>
    <t>死亡</t>
  </si>
  <si>
    <t>死亡状態が明確に伝わるアニメーションを作成する。再生後に通常待機へ戻らず、最終姿勢を維持できる終わり方にする。</t>
  </si>
  <si>
    <t>タイミング：発生条件：HPが0になった時。再生尺はモーション担当案を提示し、PGと確定する。
ループ：なし
ルート移動・回転：原則その場。倒れ込みによる移動量がある場合は事前共有する。
Notify：DeathEnd（再生完了判定が必要な場合）</t>
  </si>
  <si>
    <t>ゲーム内で死亡時に1回だけ再生され、終了後に待機へ戻らない。</t>
  </si>
  <si>
    <t>PG連携：入力停止、当たり判定停止、死亡後処理のタイミングをPGと合わせる。
PG確認：肴場</t>
  </si>
  <si>
    <t>最優先</t>
  </si>
  <si>
    <t>PL-02</t>
  </si>
  <si>
    <t>ガード中</t>
  </si>
  <si>
    <t>ガードを継続していることが見た目で分かる姿勢を作成する。盾の位置と身体の重心を保ち、継続中に破綻しない。</t>
  </si>
  <si>
    <t>タイミング：ガード入力を保持している間に再生する。開始・解除の専用遷移が必要かはPGと確認する。
ループ：あり
ルート移動・回転：原則その場。意図しない前後移動や回転を入れない。
Notify：GuardLoopStart、GuardLoopEnd（必要な場合）</t>
  </si>
  <si>
    <t>長時間ループしても手足・盾が跳ねず、解除時に待機または次状態へ自然につながる。</t>
  </si>
  <si>
    <t>PG連携：ガード開始・解除、被弾時、移動可否、上半身のみ再生するかをPGと確定する。
PG確認：肴場</t>
  </si>
  <si>
    <t>PL-03</t>
  </si>
  <si>
    <t>攻撃・大</t>
  </si>
  <si>
    <t>大攻撃を作成する。1回の振り動作につき1アニメーションとし、複数の振りを1ファイルにまとめない。予備動作、攻撃、振り抜き、復帰が読み取れる構成にする。</t>
  </si>
  <si>
    <t>タイミング：各アニメーションの有効打撃区間を明示する。攻撃後の硬直時間はPGと調整する。
ループ：なし
ルート移動・回転：移動・回転を含める場合は量を明示し、Root Motion採用可否をPGと確認する。
Notify：AttackStart、HitStart、HitEnd、AttackEnd</t>
  </si>
  <si>
    <t>各振りを個別に呼び出せ、ゲーム内の当たり判定と見た目の命中タイミングが一致する。</t>
  </si>
  <si>
    <t>PG連携：ファイル名、振り番号、総尺、打撃区間、移動量を一覧化して提出する。
PG確認：肴場</t>
  </si>
  <si>
    <t>高</t>
  </si>
  <si>
    <t>PL-04</t>
  </si>
  <si>
    <t>既存アニメーション全般</t>
  </si>
  <si>
    <t>既存仕様に沿ってブラッシュアップする。武器・盾・手足のめり込み、重心、動きのつながり、開始姿勢と終了姿勢を確認し、現行の挙動を維持したまま品質を上げる。</t>
  </si>
  <si>
    <t>タイミング：既存のゲーム側タイミングを基準にする。尺を変更する場合は変更前後をPGへ共有する。
ループ：既存設定を維持
ルート移動・回転：既存設定を維持。変更が必要な場合は事前共有する。
Notify：既存Notifyを維持。位置を変更した場合は変更点を明記する。</t>
  </si>
  <si>
    <t>現行機能を壊さず、仕様書どおりの動作と遷移が再現される。</t>
  </si>
  <si>
    <t>PG連携：差し替え対象名、尺変更、Notify変更、Root Motion変更の有無を提出する。
PG確認：肴場</t>
  </si>
  <si>
    <t>PL-05</t>
  </si>
  <si>
    <t>小・中攻撃のコンボ間待機</t>
  </si>
  <si>
    <t>ボタン連打を要求するせっかちな操作感を緩和する。小・中攻撃のアニメーションには、攻撃動作後に次段入力を受け付ける待ち区間を含める。受付中に次段入力があった場合は、待ち区間を最後まで再生せず、現在のアニメーションを途中終了して次段アニメーションへ遷移する。入力がない場合は総フレームまで再生し、待機へ戻る。</t>
  </si>
  <si>
    <t>タイミング：攻撃時間：待ち時間＝1：1。構造体に設定する『強制終了可能開始フレーム』を入力受付開始位置とし、そのフレーム以降に次段入力があれば即時遷移する。受付終了はアニメーション総フレーム。例：攻撃区間30フレーム＋待ち区間30フレームなら、待ち区間の先頭フレームを開始値として設定する。
ループ：なし
ルート移動・回転：待ち区間は原則その場。次段へつながる姿勢と通常待機へ戻れる姿勢を両立する。
Notify：AttackEnd／ComboWindowOpen（強制終了可能開始フレームと一致）、ComboWindowClose（総フレーム。Notifyを併用する場合）</t>
  </si>
  <si>
    <t>強制終了可能開始フレームの直前では次段へ遷移せず、開始フレーム以降の入力では現在アニメーションを即時終了して次段を再生する。未入力時は総フレームまで再生して待機へ戻る。</t>
  </si>
  <si>
    <t>PG連携：モーション担当は各段の総フレーム数と、攻撃動作が終わって待ち区間へ入る先頭フレームを共有する。PG側はその値を構造体の『強制終了可能開始フレーム』へ設定する。フレーム番号を0始まり／1始まりのどちらで扱うかは既存方式に統一する。
PG確認：肴場</t>
  </si>
  <si>
    <t>PL-06</t>
  </si>
  <si>
    <t>ガード成功リアクション</t>
  </si>
  <si>
    <t>攻撃をガードした瞬間が明確に伝わる短いリアクションを作成する。盾で衝撃を受け、身体で反動を受け止めた後、ガード継続または待機へ自然につながる姿勢にする。</t>
  </si>
  <si>
    <t>タイミング：ガード成功イベントで1回再生する。連続攻撃を受ける場合に再生が破綻しない長さとし、正確な衝撃フレームを明示する。
ループ：なし
ルート移動・回転：原則その場。大きな後退を入れる場合は移動量を共有する。
Notify：GuardSuccess、ReactionEnd</t>
  </si>
  <si>
    <t>ガード成功時のみ1回再生され、通常被弾やガード継続の遷移と競合しない。</t>
  </si>
  <si>
    <t>PG連携：ガード成功後にガード継続へ戻すか待機へ戻すか、連続ガード時の再生規則、ヒットストップとの同期を確認する。
PG確認：肴場</t>
  </si>
  <si>
    <t>EN-01</t>
  </si>
  <si>
    <t>モンスター</t>
  </si>
  <si>
    <t>タイミング：発生条件：HPが0になった時。再生尺はモーション担当案を提示し、PGと確定する。
ループ：なし
ルート移動・回転：原則その場。倒れ込みによる移動量がある場合は事前共有する。
Notify：DeathEnd（必要な場合）</t>
  </si>
  <si>
    <t>ゲーム内で死亡時に1回だけ再生され、終了後に待機や攻撃へ戻らない。</t>
  </si>
  <si>
    <t>PG連携：AI停止、当たり判定停止、撃破演出・リザルト遷移のタイミングをPGと合わせる。
PG確認：鹿原</t>
  </si>
  <si>
    <t>EN-02</t>
  </si>
  <si>
    <t>全体的に動きが小さく単調なため、重心移動、予備動作、振り抜き、反動を大きくし、攻撃の強さと巨体感が伝わるようにする。</t>
  </si>
  <si>
    <t>タイミング：既存AIの攻撃間隔を基準にする。尺を変更する場合は変更前後をPGへ共有する。
ループ：既存設定を維持
ルート移動・回転：既存設定を基準とし、大きな移動・回転を追加する場合は事前共有する。
Notify：既存Notifyを維持。位置変更時は変更点を明記する。</t>
  </si>
  <si>
    <t>ゲーム内で動作が読み取りやすく、各攻撃の違いが明確で、既存の当たり判定と破綻しない。</t>
  </si>
  <si>
    <t>PG連携：変更したアニメーション名、総尺、攻撃判定区間、移動・回転量を一覧化する。
PG確認：鹿原</t>
  </si>
  <si>
    <t>EN-03</t>
  </si>
  <si>
    <t>拳攻撃</t>
  </si>
  <si>
    <t>腕だけで打たず、踏み込み、腰・肩の回転、振り抜き、反動まで全身を使って大きく拳を振るう。</t>
  </si>
  <si>
    <t>タイミング：予備動作と命中の瞬間が判別できる間を作る。正確な打撃区間はモーション提出時に明示する。
ループ：なし
ルート移動・回転：踏み込みや身体の回転量をPGへ共有する。
Notify：AttackStart、HitStart、HitEnd、AttackEnd</t>
  </si>
  <si>
    <t>遠目でも攻撃方向と命中タイミングが読み取れ、当たり判定と拳の軌道が一致する。</t>
  </si>
  <si>
    <t>PG連携：踏み込みをRoot Motionにするか、ゲーム側移動にするかをPGと確定する。
PG確認：鹿原</t>
  </si>
  <si>
    <t>EN-04</t>
  </si>
  <si>
    <t>斧攻撃（振り上げ→振り下ろし）</t>
  </si>
  <si>
    <t>斧を十分に振り上げた姿勢で一度止め、その後に大きく振り下ろす。予備動作と攻撃の瞬間を明確に分ける。</t>
  </si>
  <si>
    <t>タイミング：振り上げ完了後、約0.5秒の間を置いてから振り下ろす。
ループ：なし
ルート移動・回転：原則その場。振り下ろしに踏み込みを入れる場合は移動量を共有する。
Notify：WindupEnd、HitStart、HitEnd、AttackEnd</t>
  </si>
  <si>
    <t>ゲーム内で約0.5秒の溜めが確認でき、斧の刃と攻撃判定のタイミングが一致する。</t>
  </si>
  <si>
    <t>PG連携：0.5秒をアニメーション内の停止で表現するか、再生制御で止めるかをPGと統一する。
PG確認：鹿原</t>
  </si>
  <si>
    <t>EN-05</t>
  </si>
  <si>
    <t>振り返り攻撃</t>
  </si>
  <si>
    <t>振り返り動作と斧攻撃を別々に見せず、振り返りながら全身を使って斧を全力で振るう。</t>
  </si>
  <si>
    <t>タイミング：回転開始、攻撃判定開始、振り抜き終了のタイミングを明示する。
ループ：なし
ルート移動・回転：回転角度と回転方向を明示する。Root Motion回転とゲーム側回転を重複させない。
Notify：TurnStart、HitStart、HitEnd、AttackEnd</t>
  </si>
  <si>
    <t>身体の回転と斧の軌道が一体化し、背後への攻撃範囲と見た目が一致する。</t>
  </si>
  <si>
    <t>PG連携：キャラクターの向き更新をアニメーション側とゲーム側のどちらが担当するかをPGと確定する。
PG確認：鹿原</t>
  </si>
  <si>
    <t>EN-06</t>
  </si>
  <si>
    <t>斧引きずり連続攻撃</t>
  </si>
  <si>
    <t>一連の動作を次の順で作成する。①斧を地面に落とす。②一拍置く。③地面を引きずりながら振り上げる。④斧がモンスター正面から背後まで弧を描く。⑤背中側の地面に着地させる。⑥持ち上げながら高く振り上げる。⑦一拍置く。⑧大きく振りかぶって振り下ろす。</t>
  </si>
  <si>
    <t>タイミング：一拍置く箇所は②と⑦。各打撃区間と全体尺を提出時に明示する。
ループ：なし
ルート移動・回転：斧の軌道は正面→背後→高い振り上げ→正面への振り下ろし。身体の回転・移動量を共有する。
Notify：AxeGrounded、DragHitStart、DragHitEnd、BackGroundHit、LiftEnd、FinalHitStart、FinalHitEnd、AttackEnd</t>
  </si>
  <si>
    <t>斧が地面から浮いて見えず、正面から背後までの弧と最終振り下ろしが連続して見える。各攻撃判定が斧の位置と一致する。</t>
  </si>
  <si>
    <t>PG連携：単一Montage内の複数判定か、セクション分割かをPGと決める。床との接触位置、Root Motion、旋回制御、途中中断可否も確認する。
PG確認：鹿原</t>
  </si>
  <si>
    <t>EN-07</t>
  </si>
  <si>
    <t>立ち上がり</t>
  </si>
  <si>
    <t>ダウンまたはやられ状態から身体を起こし、戦闘姿勢へ復帰するアニメーションを作成する。巨体の重さを感じる重心移動を入れ、復帰完了が分かる終端姿勢にする。</t>
  </si>
  <si>
    <t>タイミング：ダウン・やられモーション終了後に1回再生する。立ち上がり完了フレームを明示する。
ループ：なし
ルート移動・回転：原則その場。位置補正が必要な場合は移動量を共有する。
Notify：GetUpStart、GetUpEnd</t>
  </si>
  <si>
    <t>立ち上がり完了まで待機・移動・攻撃へ戻らず、終了後に待機へ自然につながる。</t>
  </si>
  <si>
    <t>PG連携：死亡状態では再生しない。立ち上がり中の当たり判定、無敵時間、AI再開時点を鹿原と確認する。
PG確認：鹿原</t>
  </si>
  <si>
    <t>EN-08</t>
  </si>
  <si>
    <t>攻撃をガードされた時のやられ</t>
  </si>
  <si>
    <t>モンスターの攻撃がプレイヤーにガードされた際、攻撃を弾かれたことが分かるやられリアクションを作成する。攻撃方向に応じて上体・腕・武器へ反動を出し、攻撃継続と区別できる姿勢にする。</t>
  </si>
  <si>
    <t>タイミング：ガード成功時に1回再生する。リアクション終了フレームを明示し、終了後は立ち上がりまたはAI復帰へ接続できるようにする。
ループ：なし
ルート移動・回転：原則その場。武器の反動による回転量を共有する。
Notify：GuardBreakStart、ReactionEnd</t>
  </si>
  <si>
    <t>ガード成功時だけ再生され、攻撃判定が残らず、AI復帰または立ち上がりへ自然につながる。</t>
  </si>
  <si>
    <t>PG連携：通常の被弾・ダウン・死亡との優先順位、ボスへ適用するか、リアクション時間を鹿原と確認する。
PG確認：鹿原</t>
  </si>
  <si>
    <t>プログラマー仕様</t>
  </si>
  <si>
    <t>担当：鹿原（モンスター）、肴場（プレイヤー・UI）。共通処理は2名で分担し、山田はデバッグ・最終確認を行います。</t>
  </si>
  <si>
    <t>工程ID</t>
  </si>
  <si>
    <t>実装内容</t>
  </si>
  <si>
    <t>依存・関連</t>
  </si>
  <si>
    <t>テスト・確認</t>
  </si>
  <si>
    <t>期限</t>
  </si>
  <si>
    <t>PG-02</t>
  </si>
  <si>
    <t>共通</t>
  </si>
  <si>
    <t>再アップされたモーションの適用</t>
  </si>
  <si>
    <t>再アップされたプレイヤー・モンスターのモーションをインポートし、既存参照を差し替える。Skeleton、Retarget、スケール、軸、圧縮、Root Motion、ループ設定を確認し、旧版アセットや旧参照を残さない。</t>
  </si>
  <si>
    <t>関連仕様：全仕様
受領・依存：再アップされたFBXまたはAnimation Sequence、変更一覧
連携：内町・村吉／山田確認</t>
  </si>
  <si>
    <t>対象モーションがすべて最新版へ差し替わり、プレビューと実機で姿勢・武器位置・移動量が一致する。</t>
  </si>
  <si>
    <t>テスト：手足・武器のずれ、原点移動、意図しない回転、ループ継ぎ目、旧版参照、再アップ漏れ。
確認：Root Motionの採用方針と、再アップごとの変更点。</t>
  </si>
  <si>
    <t>PG-03</t>
  </si>
  <si>
    <t>AnimNotifyの移植・再設定</t>
  </si>
  <si>
    <t>HitStart／HitEnd、AttackEnd、DeathEndなどを新しいアニメーションの正しい時刻へ設定し直す。</t>
  </si>
  <si>
    <t>関連仕様：PL-03～PL-05、EN-03～EN-06
受領・依存：モーション側の総尺・打撃区間
連携：内町・村吉</t>
  </si>
  <si>
    <t>見た目の接触フレームと当たり判定・SE・VFXの発生が一致する。</t>
  </si>
  <si>
    <t>テスト：Notify重複、旧アセットのNotify残存、再生速度変更時のずれ。
確認：既存Notify名を維持し、必須イベントの再設定漏れがないか。</t>
  </si>
  <si>
    <t>PG-04</t>
  </si>
  <si>
    <t>死亡状態の追加</t>
  </si>
  <si>
    <t>HP0を検知して死亡状態へ遷移し、死亡アニメーションを1回再生する。入力、移動、攻撃、ガード、不要な当たり判定を停止し、終了処理へ接続する。</t>
  </si>
  <si>
    <t>関連仕様：PL-01
受領・依存：死亡アニメーション
連携：内町／山田確認</t>
  </si>
  <si>
    <t>どの状態からHP0になっても死亡へ入り、二重再生や待機復帰が起きない。</t>
  </si>
  <si>
    <t>テスト：攻撃中、ガード中、被弾中、空中など各状態からの死亡。
確認：死体のCollision、消滅有無、リザルト遷移の時点。</t>
  </si>
  <si>
    <t>PG-05</t>
  </si>
  <si>
    <t>ガード中・回復中の停止処理</t>
  </si>
  <si>
    <t>ガード中と回復中は、仕様で許可された操作以外の移動、攻撃、回避、状態遷移を停止する。ガード入力保持中はガードアニメーションを継続し、解除時は待機へ戻す。回復終了時も停止状態を解除する。</t>
  </si>
  <si>
    <t>関連仕様：PL-02、追加要件
受領・依存：ガード中アニメーション、既存の回復処理・回復アニメーション
連携：内町／山田確認</t>
  </si>
  <si>
    <t>ガード中・回復中にキャラクターが意図せず移動や攻撃をせず、終了・中断・死亡時に停止フラグが確実に解除または死亡状態へ移る。</t>
  </si>
  <si>
    <t>テスト：短押し、長押し、回復連打、被弾、死亡、シーン遷移、アニメーション中断。
確認：回復中の被弾可否、ガード中の方向転換可否、停止対象にカメラ操作を含めるか。</t>
  </si>
  <si>
    <t>完了</t>
  </si>
  <si>
    <t>PG-06</t>
  </si>
  <si>
    <t>プレイヤー・モンスター</t>
  </si>
  <si>
    <t>ガード成功時の双方処理とアニメーション再生</t>
  </si>
  <si>
    <t>プレイヤーのガード成功判定時は通常ダメージ処理を抑止し、プレイヤー側のガード成功アニメーションを再生する。同時に、攻撃したモンスターの攻撃判定を終了し、ガードされた時のやられモーションを1回再生する。通常の被弾・攻撃復帰と競合しないよう状態遷移を管理する。</t>
  </si>
  <si>
    <t>関連仕様：PL-02、PL-06、EN-08、追加要件
受領・依存：ガード成功アニメーション、モンスターのやられモーション、既存ガード判定
連携：内町・村吉／山田確認</t>
  </si>
  <si>
    <t>ガード成功時のみ双方の専用リアクションが1回再生され、プレイヤーHPが減らず、モンスターはリアクション終了後に正しいAI状態へ戻る。</t>
  </si>
  <si>
    <t>テスト：正面・背面、連続攻撃、複数判定、ガード失敗、ガード成功直後の死亡、同時ヒット、状態遷移中の再ガード。
確認：ガード可能角度、スタミナ消費、モンスターのやられ時間、ボスにも適用するか、ガード成功時のヒットストップ有無。</t>
  </si>
  <si>
    <t>PG-07</t>
  </si>
  <si>
    <t>大攻撃の呼び出しと判定</t>
  </si>
  <si>
    <t>一振り1アニメーションを個別に再生できるよう入力・攻撃データ・Montageを接続し、各振りのHitStart／HitEndで当たり判定を制御する。</t>
  </si>
  <si>
    <t>関連仕様：PL-03
受領・依存：大攻撃アニメーション一式
連携：内町</t>
  </si>
  <si>
    <t>各入力で指定した一振りだけ再生され、ダメージが1回だけ発生する。</t>
  </si>
  <si>
    <t>テスト：空振り、複数敵、連打、キャンセル、被弾中、再生途中の状態遷移。
確認：大攻撃の段数、派生条件、移動補正、キャンセル可否。</t>
  </si>
  <si>
    <t>進行中</t>
  </si>
  <si>
    <t>PG-08</t>
  </si>
  <si>
    <t>コンボ入力受付とアニメーション途中終了</t>
  </si>
  <si>
    <t>小・中攻撃を管理する既存構造体へ『強制終了可能開始フレーム』（仮称：InterruptibleStartFrame）を1項目追加する。型は既存のフレーム数と同じ整数型とする。現在フレームが設定値以上かつ入力受付中に次段入力を検出した場合、現在アニメーションをその時点で強制終了し、入力バッファを1回だけ消費して次段アニメーションを直ちに再生する。設定値より前の入力では強制終了しない。</t>
  </si>
  <si>
    <t>関連仕様：PL-05
受領・依存：各攻撃の総フレーム数、待ち区間の先頭フレーム、既存アニメーション管理構造体
連携：内町</t>
  </si>
  <si>
    <t>設定値の直前では現在アニメーションが継続し、設定値以降の入力では完了フレームを待たず次段が同フレームまたは次の更新で再生される。同一入力の多重消費がない。</t>
  </si>
  <si>
    <t>テスト：開始フレーム直前・一致・直後、待ち終了直前、入力なし、押しっぱなし、連打、低FPS・高FPS、次段なし。
確認：フィールド名と型、0始まり／1始まり、次段が存在しない攻撃での無効値、強制終了時の終了処理・当たり判定・Root Motionの停止方法。</t>
  </si>
  <si>
    <t>保留</t>
  </si>
  <si>
    <t>PG-09</t>
  </si>
  <si>
    <t>攻撃区間と待ち区間の1：1同期</t>
  </si>
  <si>
    <t>アニメーション総フレームには攻撃区間と入力受付用の待ち区間を含める。攻撃時間：待ち時間＝1：1となるよう、各段の『強制終了可能開始フレーム』を待ち区間の先頭に設定する。再生速度を変更しても判定がずれないよう、既存のフレーム進行値を基準に入力受付と途中終了を判定する。</t>
  </si>
  <si>
    <t>関連仕様：PL-05、PG-08
受領・依存：各攻撃の総フレーム数、強制終了可能開始フレーム、再生速度
連携：内町</t>
  </si>
  <si>
    <t>全コンボ段で攻撃区間と待ち区間が1：1になり、設定値から総フレームまでが入力受付兼途中終了可能区間として動作する。</t>
  </si>
  <si>
    <t>テスト：再生速度0.8／1.0／1.2、奇数総フレーム、段ごとに尺が違う場合、小・中攻撃。
確認：1：1で割り切れない総フレームの端数処理、アニメーション差し替え時の設定更新担当。</t>
  </si>
  <si>
    <t>PG-10</t>
  </si>
  <si>
    <t>コンボ途中終了・割り込み処理</t>
  </si>
  <si>
    <t>強制終了可能開始フレーム以降に次段入力があれば、現在アニメーションの終了待ちを解除し、攻撃判定・移動補正・Root Motion・入力受付フラグなど現在段の終了処理を1回だけ実行してから次段へ遷移する。入力がなければ総フレーム到達時に待機へ戻す。被弾、死亡、ガード、回避との優先順位を維持し、入力バッファを遷移時に消去する。</t>
  </si>
  <si>
    <t>関連仕様：PL-02、PL-05、PG-08、PG-09
受領・依存：既存ステート構成、攻撃判定・Root Motion終了処理
連携：山田確認</t>
  </si>
  <si>
    <t>途中終了時に現在段の判定や移動が残らず、次段が二重再生されない。未入力時は正常に待機へ戻り、被弾・死亡など優先度の高い遷移と競合しない。</t>
  </si>
  <si>
    <t>テスト：開始フレームと入力が同時、待ち終了と入力が同時、HitEnd前後、被弾・死亡・ガード・回避との同時発生、Root Motion中、低FPS。
確認：次段入力と被弾・死亡が同一フレームの場合の優先順位、強制終了時に呼ぶ共通終了関数、ブレンド時間。</t>
  </si>
  <si>
    <t>PG-11</t>
  </si>
  <si>
    <t>死亡状態とAI停止</t>
  </si>
  <si>
    <t>HP0で死亡アニメーションを1回再生し、AI行動、移動、攻撃予約、不要な当たり判定を停止する。撃破後処理へ接続する。</t>
  </si>
  <si>
    <t>関連仕様：EN-01
受領・依存：死亡アニメーション
連携：村吉／山田確認</t>
  </si>
  <si>
    <t>攻撃中を含む全状態から死亡でき、死亡後にAIが再開しない。</t>
  </si>
  <si>
    <t>テスト：攻撃判定中の死亡、同時撃破、死亡後の押し出し、リザルト。
確認：死体Collision、消滅、撃破演出の開始時点。</t>
  </si>
  <si>
    <t>PG-12</t>
  </si>
  <si>
    <t>立ち上がりアニメーションの再生</t>
  </si>
  <si>
    <t>ダウンまたはやられ状態の終了後に立ち上がりアニメーションを再生し、再生完了後に移動・攻撃・AI判断を再開する。死亡状態へ入った場合は立ち上がりへ遷移させない。</t>
  </si>
  <si>
    <t>関連仕様：EN-07、追加要件
受領・依存：立ち上がりアニメーション、ダウン・やられ状態
連携：村吉</t>
  </si>
  <si>
    <t>対象状態から立ち上がりが1回再生され、完了前にAIが動き出さず、死亡したモンスターは立ち上がらない。</t>
  </si>
  <si>
    <t>テスト：通常ダウン、ガードされた後、立ち上がり中の被弾・死亡、連続ダウン、壁際、アニメーション中断。
確認：どの状態から立ち上がりへ入るか、無敵時間の有無、立ち上がり中の当たり判定。</t>
  </si>
  <si>
    <t>PG-13</t>
  </si>
  <si>
    <t>モンスター攻撃モーションとAIタイミングの更新</t>
  </si>
  <si>
    <t>再アップされた拳、斧、振り返り、斧引きずり攻撃を適用し、変更後の尺に合わせてAIの硬直、次行動可能時刻、当たり判定を更新する。共通のインポート・参照差し替えは再アップモーション適用工程で行う。</t>
  </si>
  <si>
    <t>関連仕様：EN-02～EN-06
受領・依存：適用済みの最新版モーション、変更後の総尺・判定区間
連携：村吉</t>
  </si>
  <si>
    <t>全攻撃が新アニメーションで再生され、旧アセット参照が残らない。</t>
  </si>
  <si>
    <t>テスト：各AI行動、再生中断、攻撃後の復帰、参照切れ。
確認：尺変更によるゲーム難易度の変化。</t>
  </si>
  <si>
    <t>PG-14</t>
  </si>
  <si>
    <t>斧攻撃の約0.5秒の溜め</t>
  </si>
  <si>
    <t>振り上げ完了から振り下ろし開始まで約0.5秒になるようMontageまたはAnimation Sequenceを設定し、溜め中に次行動へ移らないよう制御する。</t>
  </si>
  <si>
    <t>関連仕様：EN-04
受領・依存：WindupEnd位置
連携：村吉</t>
  </si>
  <si>
    <t>実機計測で約0.5秒の間があり、溜め中に攻撃判定が出ない。</t>
  </si>
  <si>
    <t>テスト：再生速度変更、一時停止方式、AI中断、被弾リアクション。
確認：アニメーション内の間を使うか、Montage再生制御を使うか。</t>
  </si>
  <si>
    <t>PG-15</t>
  </si>
  <si>
    <t>振り返り攻撃の向き更新</t>
  </si>
  <si>
    <t>回転の担当をRoot Motionまたはゲーム側のどちらかに統一し、攻撃中のターゲット追尾量を制限する。</t>
  </si>
  <si>
    <t>関連仕様：EN-05
受領・依存：回転角度・方向
連携：村吉</t>
  </si>
  <si>
    <t>二重回転、瞬間反転、足滑りがなく、攻撃範囲と斧の軌道が一致する。</t>
  </si>
  <si>
    <t>テスト：左右の対象、攻撃直前の対象移動、ロックオン解除、壁際。
確認：攻撃中に追尾する角度上限。</t>
  </si>
  <si>
    <t>PG-16</t>
  </si>
  <si>
    <t>斧引きずり連続攻撃の判定制御</t>
  </si>
  <si>
    <t>地面への落下、引きずり弧、背後着地、最終振り下ろしのうち、ダメージを持つ区間を仕様化し、各NotifyでHitboxを開始・終了する。同一対象への多重ヒット規則も設定する。</t>
  </si>
  <si>
    <t>関連仕様：EN-06
受領・依存：各フェーズとNotify位置
連携：村吉</t>
  </si>
  <si>
    <t>斧の位置と各判定が一致し、意図しない連続ダメージや判定残りがない。</t>
  </si>
  <si>
    <t>テスト：正面・側面・背後、密着、複数プレイヤー想定、途中中断、壁・段差。
確認：各フェーズのダメージ有無、同一対象への再ヒット可否。</t>
  </si>
  <si>
    <t>PG-17</t>
  </si>
  <si>
    <t>斧軌道とRoot Motionの調整</t>
  </si>
  <si>
    <t>斧が地面を引きずる区間の身体移動・回転、床との接触、段差での見え方を調整する。必要ならIKやゲーム側の位置補正を検討する。</t>
  </si>
  <si>
    <t>関連仕様：EN-06
受領・依存：斧軌道・Root Motion情報
連携：村吉</t>
  </si>
  <si>
    <t>平坦な床で斧が大きく浮かず、キャラクター本体が滑らず、NavMeshやCollisionを破綻させない。</t>
  </si>
  <si>
    <t>テスト：坂、段差、壁際、狭い場所、低いFPS。
確認：IK導入範囲、床追従の要否、途中旋回可否。</t>
  </si>
  <si>
    <t>PG-18</t>
  </si>
  <si>
    <t>SE再生とVFX・カメラ・武器軌跡の同期</t>
  </si>
  <si>
    <t>攻撃、命中、ガード成功、回復、回避、死亡、UI操作に必要なSEを再生する。攻撃系SEは予備動作、命中、振り抜きに合わせ、VFX、カメラシェイク、武器Trailと同じNotifyまたはイベントへ同期する。</t>
  </si>
  <si>
    <t>関連仕様：PL-01～PL-05、EN-01～EN-06、追加要件
受領・依存：最終Notify位置、SE一覧
連携：内町・村吉</t>
  </si>
  <si>
    <t>各SEが指定場面で1回だけ再生され、攻撃判定や画面演出と一致する。</t>
  </si>
  <si>
    <t>テスト：空振り、命中、ガード、回復、回避、死亡、UI決定、複数ヒット、攻撃中断。
確認：必須SE一覧、ガード成功音と通常命中音の優先順位、ヒットストップ中の音の扱い。</t>
  </si>
  <si>
    <t>確認待ち</t>
  </si>
  <si>
    <t>PG-19</t>
  </si>
  <si>
    <t>攻撃命中時のヒットストップ実装</t>
  </si>
  <si>
    <t>攻撃が有効な対象へ命中した時に、攻撃側と被攻撃側の動きを短時間停止させる。停止時間は攻撃または命中種別ごとに調整可能にし、空振りでは発生させない。連続ヒット時の多重発生を制御する。</t>
  </si>
  <si>
    <t>関連仕様：PL-03、EN-03～EN-06、追加要件
受領・依存：命中イベント、攻撃データ、時間制御方式
連携：山田確認</t>
  </si>
  <si>
    <t>通常命中で指定時間だけ停止し、空振りや無効判定では発生しない。停止解除後にアニメーション・AI・入力が正常に再開する。</t>
  </si>
  <si>
    <t>テスト：単発、連続攻撃、複数敵への同時命中、ガード成功、死亡ヒット、低FPS、ポーズとの競合。
確認：停止対象をアニメーションのみにするかゲーム全体にするか、攻撃別の停止時間、SE・VFX・カメラへの影響。</t>
  </si>
  <si>
    <t>PG-20</t>
  </si>
  <si>
    <t>回避時に移動方向を向く処理</t>
  </si>
  <si>
    <t>回避開始時の移動入力方向を取得し、その方向へプレイヤーを向けてから回避移動・アニメーションを再生する。ロックオン中の向き制御と競合しないよう優先順位を定める。</t>
  </si>
  <si>
    <t>関連仕様：追加要件
受領・依存：回避入力、移動方向、既存ロックオン・回避処理
連携：山田確認</t>
  </si>
  <si>
    <t>前後左右・斜め入力で移動方向と見た目の向きが一致し、回避中に急な向き戻りや二重回転が起きない。</t>
  </si>
  <si>
    <t>テスト：8方向入力、入力なし、ロックオン中、カメラ基準、壁際、スティックの微小入力。
確認：入力なし時の回避方向、カメラ基準かキャラクター基準か、回避中の旋回可否。</t>
  </si>
  <si>
    <t>PG-21</t>
  </si>
  <si>
    <t>タイトル</t>
  </si>
  <si>
    <t>接続機器に応じた開始表示の切り替え</t>
  </si>
  <si>
    <t>コントローラーが接続されている場合は「Push Button To Start」、接続されていない場合は「Click To Start」を表示する。接続・切断時に表示を更新し、各表示に対応する入力でタイトルを進行させる。</t>
  </si>
  <si>
    <t>関連仕様：追加要件
受領・依存：入力デバイス検出、タイトルUI
連携：山田確認</t>
  </si>
  <si>
    <t>起動時とホットプラグ時に正しい文言が表示され、コントローラーのボタンまたはマウスクリックで1回だけ次画面へ遷移する。</t>
  </si>
  <si>
    <t>テスト：起動前接続、起動後接続・切断、複数コントローラー、マウスクリック、連打、キーボードのみ。
確認：コントローラー接続中もマウス操作を許可するか、対象ボタンを限定するか。</t>
  </si>
  <si>
    <t>中</t>
  </si>
  <si>
    <t>PG-22</t>
  </si>
  <si>
    <t>プレイヤーUI</t>
  </si>
  <si>
    <t>回復薬の残量表示</t>
  </si>
  <si>
    <t>所持している回復薬の残数をHUDへ表示し、使用、取得、初期化、リトライ、シーン再読み込みのたびに正しい値へ更新する。残数0では使用できないことを既存処理と同期する。
開始3個スタート</t>
  </si>
  <si>
    <t>関連仕様：追加要件
受領・依存：回復薬所持数の管理元、HUD素材
連携：山田確認</t>
  </si>
  <si>
    <t>ゲーム中の実データと表示数が常に一致し、使用・取得時に即時更新され、0未満にならない。</t>
  </si>
  <si>
    <t>テスト：0個、1個、最大数、連打使用、回復中、取得、死亡・リトライ、シーン遷移。
確認：最大所持数、表示位置・形式、0個時の見た目、回復中の追加使用可否。</t>
  </si>
  <si>
    <t>PG-23</t>
  </si>
  <si>
    <t>操作説明画面</t>
  </si>
  <si>
    <t>コントローラー画像と操作対応表の表示</t>
  </si>
  <si>
    <t>操作説明画面にコントローラー画像を配置し、各ボタンに割り当てられている操作を確認できる表を表示する。実際の入力設定と表記を一致させ、画面サイズが変わっても読めるレイアウトにする。</t>
  </si>
  <si>
    <t>関連仕様：追加要件
受領・依存：コントローラー画像、確定済みボタン割り当て、操作説明UI
連携：山田確認</t>
  </si>
  <si>
    <t>主要操作が画像と表の両方で確認でき、ゲーム内の実際のボタン割り当てと一致する。文字・画像が画面外へ切れない。</t>
  </si>
  <si>
    <t>テスト：各対応解像度、UIスケール、長い操作名、コントローラー未接続、画面遷移、戻る操作。
確認：使用するコントローラー画像、表に載せる操作範囲、キーボード説明を同画面に含めるか。</t>
  </si>
  <si>
    <t>PG-24</t>
  </si>
  <si>
    <t>尺変更に伴うゲームバランス調整</t>
  </si>
  <si>
    <t>予備動作、攻撃判定、硬直、次行動までの時間をデータ化または一元管理し、ブラッシュアップ後の尺に合わせて調整する。</t>
  </si>
  <si>
    <t>関連仕様：PL-03～PL-05、EN-02～EN-06
受領・依存：最終アニメーション尺
連携：山田確認</t>
  </si>
  <si>
    <t>アニメーション差し替え後も操作感と敵の難易度が意図した範囲に収まる。</t>
  </si>
  <si>
    <t>テスト：攻撃DPS、回避猶予、ガード猶予、敵の連続行動間隔。
確認：学園祭版で優先する難易度とテンポ。</t>
  </si>
  <si>
    <t>PG-25</t>
  </si>
  <si>
    <t>回帰テストと実機確認</t>
  </si>
  <si>
    <t>プレイヤーとモンスターの全状態遷移をテストし、アセット参照、入力受付、当たり判定、AI停止、演出同期を確認する。</t>
  </si>
  <si>
    <t>関連仕様：全仕様
受領・依存：統合済みビルド
連携：山田確認</t>
  </si>
  <si>
    <t>クラッシュ、参照切れ、状態停止、攻撃判定ずれがなく、仕様ごとの完了条件を満たす。</t>
  </si>
  <si>
    <t>テスト：通常プレイ、連打、放置、同時入力、死亡境界、壁際、低FPS、繰り返しプレイ。
確認：展示端末・本番設定での最終確認日。</t>
  </si>
  <si>
    <t>PG-26</t>
  </si>
  <si>
    <t>差分整理と版管理</t>
  </si>
  <si>
    <t>変更アセット、Blueprint、C++、データ、設定の差分を整理し、不要な旧アセットや参照を残さず、競合しない単位でコミットする。</t>
  </si>
  <si>
    <t>関連仕様：全仕様
受領・依存：テスト完了版
連携：山田確認</t>
  </si>
  <si>
    <t>別環境で取得しても参照切れなく起動し、対象仕様を再現できる。</t>
  </si>
  <si>
    <t>テスト：Redirector、未保存アセット、LFS対象、不要ファイル、競合。
確認：旧アセットを削除する時期。</t>
  </si>
  <si>
    <t>PG-27</t>
  </si>
  <si>
    <t>HPバー・攻撃ゲージ装飾の組込み</t>
  </si>
  <si>
    <t>村上・茨木が制作したHPバー枠、攻撃ゲージ枠、装飾素材をHUDへ組み込み、既存の数値・ゲージ更新処理を維持したまま表示位置、伸縮、レイヤー、透過を調整する。回復薬UIは現行素材を維持し、全体レイアウトの整合のみ確認する。</t>
  </si>
  <si>
    <t>関連仕様：MD-01～MD-04
受領・依存：最終UI素材、書き出し仕様、既存HUD
連携：村上・茨木／山田確認</t>
  </si>
  <si>
    <t>HPと攻撃ゲージがゲーム状態に合わせて正しく更新され、枠・装飾がゲージを隠さず、回復薬UIを含む全体レイアウトに破綻がない。</t>
  </si>
  <si>
    <t>テスト：各対応解像度、UIスケール、満タン・0、被ダメージ、攻撃ゲージ増減、画面遷移、回復薬残量表示との重なり。
確認：最終素材の画像サイズ・余白・透過・9-slice有無、攻撃ゲージの正式名称と更新範囲。</t>
  </si>
  <si>
    <t>モデラー仕様</t>
  </si>
  <si>
    <t>担当：清水（モデル・バグ対応）、村上（UI）、茨木（UI・モデル）。回復薬は現行素材を維持します。</t>
  </si>
  <si>
    <t>作業内容</t>
  </si>
  <si>
    <t>確認・連携</t>
  </si>
  <si>
    <t>MD-01</t>
  </si>
  <si>
    <t>HPバーの枠・装飾</t>
  </si>
  <si>
    <t>既存のHP表示機能を維持したまま、HPバーの枠と装飾を制作する。現在値と最大値が読み取りやすく、ダメージ時の変化を妨げない形状・コントラストにする。</t>
  </si>
  <si>
    <t>関連仕様：PG-22、PG-27
受領・依存：現行HUD、HPバーの表示サイズ、ゲーム画面の色調</t>
  </si>
  <si>
    <t>HPが満タン・減少・0の各状態で枠がゲージを隠さず、プレイ中に残量を即座に判別できる。透過部分と余白に不要な色が残らない。</t>
  </si>
  <si>
    <t>確認観点：実機表示、UIスケール、明暗の異なる背景、ゲージ端部、文字やアイコンとの重なり。
要確認：画像サイズ、余白、透過、9-slice対応の要否を肴場と確定する。
協力：肴場／山田確認</t>
  </si>
  <si>
    <t>MD-02</t>
  </si>
  <si>
    <t>攻撃ゲージの枠・装飾</t>
  </si>
  <si>
    <t>既存の攻撃ゲージ更新機能を維持したまま、攻撃ゲージの枠と装飾を制作する。増減方向と使用可能状態が読み取りやすく、戦闘画面の雰囲気に合うデザインにする。</t>
  </si>
  <si>
    <t>関連仕様：PG-27
受領・依存：現行HUD、攻撃ゲージの表示サイズ・増減仕様</t>
  </si>
  <si>
    <t>ゲージ0・途中・満タンの各状態で枠と装飾が表示内容を妨げず、使用可能状態を判断できる。</t>
  </si>
  <si>
    <t>確認観点：実機表示、UIスケール、ゲージ増減、発光・エフェクトとの重なり、HPバーとの統一感。
要確認：攻撃ゲージの正式名称、満タン時の見せ方、装飾アニメーションの有無を肴場と確認する。
協力：肴場／山田確認</t>
  </si>
  <si>
    <t>MD-03</t>
  </si>
  <si>
    <t>UI全体の装飾統一と回復薬表示の維持</t>
  </si>
  <si>
    <t>HPバーと攻撃ゲージの枠・装飾について、線幅、角の形状、色、質感を統一する。回復薬は現行素材を変更せず、追加した装飾とのサイズ・間隔・視認性のみ確認する。</t>
  </si>
  <si>
    <t>関連仕様：PG-22、PG-27
受領・依存：MD-01、MD-02、現行の回復薬UI</t>
  </si>
  <si>
    <t>HPバー、攻撃ゲージ、回復薬が一つのHUDとしてまとまり、回復薬の既存素材と残量表示が欠けたり隠れたりしない。</t>
  </si>
  <si>
    <t>確認観点：通常画面、回復薬0・1・最大、各ゲージの増減、異なる画面比率、UIスケール。
要確認：回復薬の画像・仕様は変更対象外。配置変更が必要な場合は肴場と山田へ共有する。
協力：肴場／山田確認</t>
  </si>
  <si>
    <t>MD-04</t>
  </si>
  <si>
    <t>UI素材の書き出しと提出</t>
  </si>
  <si>
    <t>確定したUI素材を透過画像として書き出し、用途が分かるファイル名、画像サイズ、余白、分割方法、9-slice有無、差し替え対象を一覧にして肴場へ提出する。</t>
  </si>
  <si>
    <t>関連仕様：PG-27
受領・依存：MD-01～MD-03の確定版</t>
  </si>
  <si>
    <t>肴場が迷わず既存HUDへ組み込め、旧素材と最新版を取り違えない。実機でぼけ・縁取り・透過不良がない。</t>
  </si>
  <si>
    <t>確認観点：命名重複、解像度、透過、圧縮、余白、ピボット、旧版混在、再提出時の差分。
要確認：素材制作は村上・茨木、ゲーム内組込みは肴場が担当する。
協力：肴場</t>
  </si>
  <si>
    <t>MD-05</t>
  </si>
  <si>
    <t>プレイヤーモデル</t>
  </si>
  <si>
    <t>プレイヤーモデルのブラッシュアップ</t>
  </si>
  <si>
    <t>シルエット、形状の破綻、法線、UV・テクスチャ、マテリアル、装備品とのめり込みを確認し、展示中に目立つ箇所を優先して修正する。既存Skeleton、ボーン名、ソケット、マテリアルスロットとの互換性を維持する。</t>
  </si>
  <si>
    <t>関連仕様：PL-01～PL-06、PG-02
受領・依存：現行プレイヤーモデル、剣・盾、使用モーション</t>
  </si>
  <si>
    <t>主要モーション中に目立つ破綻や装備品のめり込みがなく、差し替え後もSkeleton・ソケット・マテリアル参照が切れない。</t>
  </si>
  <si>
    <t>確認観点：待機、攻撃、ガード、回避、死亡、近距離カメラ、明暗の異なる場所、盾・剣の装着位置。
要確認：ポリゴン数やマテリアル数を増やす変更は肴場と事前確認する。
協力：内町・肴場／山田確認</t>
  </si>
  <si>
    <t>MD-06</t>
  </si>
  <si>
    <t>モンスターモデル</t>
  </si>
  <si>
    <t>モンスターモデルのブラッシュアップ</t>
  </si>
  <si>
    <t>巨体感と攻撃動作が伝わるシルエットを保ちながら、形状の破綻、法線、UV・テクスチャ、マテリアル、斧や身体のめり込みを修正する。既存Skeleton、ボーン名、ソケット、マテリアルスロットとの互換性を維持する。</t>
  </si>
  <si>
    <t>関連仕様：EN-01～EN-08、PG-02、PG-13
受領・依存：現行モンスターモデル、斧、使用モーション</t>
  </si>
  <si>
    <t>拳・斧・振り返り・斧引きずり・死亡の各モーションで目立つ破綻がなく、AI・当たり判定・アニメーション参照を壊さず差し替えられる。</t>
  </si>
  <si>
    <t>確認観点：各攻撃、ガードやられ、立ち上がり、死亡、斧の接地、近距離カメラ、壁際。
要確認：体格や当たり判定へ影響する外形変更は鹿原と事前確認する。
協力：村吉・鹿原／山田確認</t>
  </si>
  <si>
    <t>MD-07</t>
  </si>
  <si>
    <t>武器モデル</t>
  </si>
  <si>
    <t>剣・盾・斧のブラッシュアップ</t>
  </si>
  <si>
    <t>剣、盾、斧について、形状、法線、UV・テクスチャ、マテリアル、持ち手と手の位置、ソケット装着時の向きを確認し、展示中に目立つ箇所を修正する。</t>
  </si>
  <si>
    <t>関連仕様：PL-02、PL-03、EN-03～EN-06、PG-02
受領・依存：現行武器モデル、ソケット設定、使用モーション</t>
  </si>
  <si>
    <t>Tポーズと全主要モーションで武器の向き・握り位置が正しく、刃や盾面の表裏が意図どおりに見え、参照切れがない。</t>
  </si>
  <si>
    <t>確認観点：装着直後、待機、攻撃、ガード、振り返り、引きずり、死亡、左右の手、ソケットの相対Transform。
要確認：ソケット名・相対位置を変更する場合は内町・村吉・肴場・鹿原へ共有する。
協力：内町・村吉・肴場・鹿原／山田確認</t>
  </si>
  <si>
    <t>MD-08</t>
  </si>
  <si>
    <t>最終素材の適用確認と修正</t>
  </si>
  <si>
    <t>肴場・鹿原が組み込んだUI・モデルを実機で確認し、表示崩れ、参照切れ、質感差、めり込み、ソケットずれがあれば素材側を修正して再提出する。</t>
  </si>
  <si>
    <t>関連仕様：MD-01～MD-07、PG-02、PG-27
受領・依存：ゲーム内へ組み込まれた確認用ビルド</t>
  </si>
  <si>
    <t>UIとモデルが確認用ビルドで仕様どおり表示され、再提出した素材の版と差分が一覧化されている。</t>
  </si>
  <si>
    <t>確認観点：HUD、全主要モーション、複数画面比率、明暗、カメラ距離、再起動・再取得後の参照。
要確認：最終提出後の変更は山田へ共有し、10月13日の凍結を越えない。
協力：肴場・鹿原／山田確認</t>
  </si>
  <si>
    <t>MD-09</t>
  </si>
  <si>
    <t>担当アセット由来のバグ修正</t>
  </si>
  <si>
    <t>総合デバッグで発見されたモデル・武器・UI素材由来の不具合を、重大度と展示影響に沿って修正する。原因、対象アセット、修正内容、確認結果を記録し、最新版を再提出する。</t>
  </si>
  <si>
    <t>関連仕様：MD-01～MD-08、PG-25
受領・依存：第1回総合デバッグの不具合一覧、再現手順</t>
  </si>
  <si>
    <t>重大・高優先度のアセット不具合が解消し、肴場・鹿原の再組込み後に山田が回帰確認できる。</t>
  </si>
  <si>
    <t>確認観点：修正箇所以外への影響、旧版混在、参照切れ、UI崩れ、ソケット・マテリアル・Skeleton互換性、再発。
要確認：清水・茨木が一次対応する。UI素材に関する確認が必要な場合は村上へ連携する。
協力：村上・肴場・鹿原／山田確認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</si>
</sst>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m/d"/>
  </numFmts>
  <fonts count="16">
    <font>
      <sz val="11"/>
      <name val="Carlito"/>
    </font>
    <font>
      <sz val="10"/>
      <color rgb="FF1F2937"/>
      <name val="Arial"/>
      <family val="2"/>
    </font>
    <font>
      <b/>
      <sz val="16"/>
      <color rgb="FF17365D"/>
      <name val="Arial"/>
      <family val="2"/>
    </font>
    <font>
      <i/>
      <sz val="10"/>
      <color rgb="FF5B6573"/>
      <name val="Arial"/>
      <family val="2"/>
    </font>
    <font>
      <b/>
      <sz val="10"/>
      <color rgb="FFFFFFFF"/>
      <name val="Arial"/>
      <family val="2"/>
    </font>
    <font>
      <b/>
      <sz val="14"/>
      <color rgb="FF17365D"/>
      <name val="Arial"/>
      <family val="2"/>
    </font>
    <font>
      <b/>
      <sz val="10"/>
      <color rgb="FF7F6000"/>
      <name val="Arial"/>
      <family val="2"/>
    </font>
    <font>
      <b/>
      <sz val="8"/>
      <color rgb="FFFFFFFF"/>
      <name val="Arial"/>
      <family val="2"/>
    </font>
    <font>
      <b/>
      <sz val="8"/>
      <color rgb="FF595959"/>
      <name val="Arial"/>
      <family val="2"/>
    </font>
    <font>
      <b/>
      <sz val="9"/>
      <color rgb="FFFFFFFF"/>
      <name val="Arial"/>
      <family val="2"/>
    </font>
    <font>
      <b/>
      <sz val="16"/>
      <color rgb="FF1F4E78"/>
      <name val="Arial"/>
      <family val="2"/>
    </font>
    <font>
      <b/>
      <sz val="10"/>
      <color rgb="FF1F2937"/>
      <name val="Arial"/>
      <family val="2"/>
    </font>
    <font>
      <b/>
      <sz val="16"/>
      <color rgb="FF548235"/>
      <name val="Arial"/>
      <family val="2"/>
    </font>
    <font>
      <b/>
      <sz val="16"/>
      <color rgb="FF8064A2"/>
      <name val="Arial"/>
      <family val="2"/>
    </font>
    <font>
      <sz val="11"/>
      <name val="Carlito"/>
    </font>
    <font>
      <sz val="6"/>
      <name val="Tsukushi A Round Gothic Bold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F2F5F9"/>
      </patternFill>
    </fill>
    <fill>
      <patternFill patternType="solid">
        <fgColor rgb="FF7F6000"/>
      </patternFill>
    </fill>
    <fill>
      <patternFill patternType="solid">
        <fgColor rgb="FFFFF2CC"/>
      </patternFill>
    </fill>
    <fill>
      <patternFill patternType="solid">
        <fgColor rgb="FFFFFDF5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548235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8064A2"/>
      </patternFill>
    </fill>
    <fill>
      <patternFill patternType="solid">
        <fgColor rgb="FFE7E6E6"/>
      </patternFill>
    </fill>
    <fill>
      <patternFill patternType="solid">
        <fgColor rgb="FFD9A6D9"/>
      </patternFill>
    </fill>
    <fill>
      <patternFill patternType="solid">
        <fgColor rgb="FF8FAADC"/>
      </patternFill>
    </fill>
    <fill>
      <patternFill patternType="solid">
        <fgColor rgb="FFF4B183"/>
      </patternFill>
    </fill>
    <fill>
      <patternFill patternType="solid">
        <fgColor rgb="FFC9B1E4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76C7C0"/>
      </patternFill>
    </fill>
    <fill>
      <patternFill patternType="solid">
        <fgColor rgb="FFC00000"/>
      </patternFill>
    </fill>
    <fill>
      <patternFill patternType="solid">
        <fgColor rgb="FFFFD966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/>
      <bottom style="thin">
        <color rgb="FFE6D9A2"/>
      </bottom>
      <diagonal/>
    </border>
    <border>
      <left style="thin">
        <color rgb="FF7F0000"/>
      </left>
      <right style="thin">
        <color rgb="FF7F0000"/>
      </right>
      <top style="thin">
        <color rgb="FF7F0000"/>
      </top>
      <bottom style="thin">
        <color rgb="FF7F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8064A2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medium">
        <color rgb="FF548235"/>
      </bottom>
      <diagonal/>
    </border>
  </borders>
  <cellStyleXfs count="2">
    <xf numFmtId="0" fontId="0" fillId="0" borderId="0"/>
    <xf numFmtId="0" fontId="14" fillId="0" borderId="0"/>
  </cellStyleXfs>
  <cellXfs count="83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3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4" fillId="6" borderId="0" xfId="1" applyFont="1" applyFill="1" applyAlignment="1">
      <alignment vertical="center"/>
    </xf>
    <xf numFmtId="0" fontId="6" fillId="7" borderId="0" xfId="1" applyFont="1" applyFill="1" applyAlignment="1">
      <alignment horizontal="center" vertical="center" wrapText="1"/>
    </xf>
    <xf numFmtId="0" fontId="1" fillId="8" borderId="0" xfId="1" applyFont="1" applyFill="1" applyAlignment="1">
      <alignment vertical="center" wrapText="1"/>
    </xf>
    <xf numFmtId="0" fontId="1" fillId="8" borderId="5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center" vertical="center" wrapText="1"/>
    </xf>
    <xf numFmtId="177" fontId="7" fillId="6" borderId="2" xfId="1" applyNumberFormat="1" applyFont="1" applyFill="1" applyBorder="1" applyAlignment="1">
      <alignment horizontal="center" vertical="center" wrapText="1"/>
    </xf>
    <xf numFmtId="0" fontId="0" fillId="0" borderId="7" xfId="1" applyFont="1" applyBorder="1"/>
    <xf numFmtId="0" fontId="10" fillId="0" borderId="12" xfId="1" applyFont="1" applyBorder="1"/>
    <xf numFmtId="0" fontId="1" fillId="0" borderId="12" xfId="1" applyFont="1" applyBorder="1"/>
    <xf numFmtId="0" fontId="3" fillId="0" borderId="0" xfId="1" applyFont="1"/>
    <xf numFmtId="0" fontId="4" fillId="9" borderId="2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vertical="center" wrapText="1"/>
    </xf>
    <xf numFmtId="0" fontId="1" fillId="0" borderId="4" xfId="1" applyFont="1" applyBorder="1" applyAlignment="1">
      <alignment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176" fontId="1" fillId="0" borderId="3" xfId="1" applyNumberFormat="1" applyFont="1" applyBorder="1" applyAlignment="1">
      <alignment horizontal="center" vertical="center" wrapText="1"/>
    </xf>
    <xf numFmtId="176" fontId="1" fillId="0" borderId="4" xfId="1" applyNumberFormat="1" applyFont="1" applyBorder="1" applyAlignment="1">
      <alignment horizontal="center" vertical="center" wrapText="1"/>
    </xf>
    <xf numFmtId="0" fontId="11" fillId="10" borderId="3" xfId="1" applyFont="1" applyFill="1" applyBorder="1" applyAlignment="1">
      <alignment horizontal="center" vertical="center" wrapText="1"/>
    </xf>
    <xf numFmtId="0" fontId="11" fillId="10" borderId="4" xfId="1" applyFont="1" applyFill="1" applyBorder="1" applyAlignment="1">
      <alignment horizontal="center" vertical="center" wrapText="1"/>
    </xf>
    <xf numFmtId="0" fontId="11" fillId="11" borderId="4" xfId="1" applyFont="1" applyFill="1" applyBorder="1" applyAlignment="1">
      <alignment horizontal="center" vertical="center" wrapText="1"/>
    </xf>
    <xf numFmtId="0" fontId="12" fillId="0" borderId="13" xfId="1" applyFont="1" applyBorder="1"/>
    <xf numFmtId="0" fontId="1" fillId="0" borderId="13" xfId="1" applyFont="1" applyBorder="1"/>
    <xf numFmtId="0" fontId="4" fillId="12" borderId="2" xfId="1" applyFont="1" applyFill="1" applyBorder="1" applyAlignment="1">
      <alignment horizontal="center" vertical="center" wrapText="1"/>
    </xf>
    <xf numFmtId="0" fontId="11" fillId="13" borderId="4" xfId="1" applyFont="1" applyFill="1" applyBorder="1" applyAlignment="1">
      <alignment horizontal="center" vertical="center" wrapText="1"/>
    </xf>
    <xf numFmtId="0" fontId="11" fillId="14" borderId="4" xfId="1" applyFont="1" applyFill="1" applyBorder="1" applyAlignment="1">
      <alignment horizontal="center" vertical="center" wrapText="1"/>
    </xf>
    <xf numFmtId="0" fontId="13" fillId="0" borderId="8" xfId="1" applyFont="1" applyBorder="1"/>
    <xf numFmtId="0" fontId="1" fillId="0" borderId="8" xfId="1" applyFont="1" applyBorder="1"/>
    <xf numFmtId="0" fontId="4" fillId="15" borderId="2" xfId="1" applyFont="1" applyFill="1" applyBorder="1" applyAlignment="1">
      <alignment horizontal="center" vertical="center" wrapText="1"/>
    </xf>
    <xf numFmtId="0" fontId="11" fillId="14" borderId="3" xfId="1" applyFont="1" applyFill="1" applyBorder="1" applyAlignment="1">
      <alignment horizontal="center" vertical="center" wrapText="1"/>
    </xf>
    <xf numFmtId="176" fontId="1" fillId="0" borderId="3" xfId="1" applyNumberFormat="1" applyFont="1" applyBorder="1" applyAlignment="1">
      <alignment vertical="center" wrapText="1"/>
    </xf>
    <xf numFmtId="176" fontId="1" fillId="0" borderId="4" xfId="1" applyNumberFormat="1" applyFont="1" applyBorder="1" applyAlignment="1">
      <alignment vertical="center" wrapText="1"/>
    </xf>
    <xf numFmtId="1" fontId="1" fillId="0" borderId="3" xfId="1" applyNumberFormat="1" applyFont="1" applyBorder="1" applyAlignment="1">
      <alignment vertical="center" wrapText="1"/>
    </xf>
    <xf numFmtId="1" fontId="1" fillId="0" borderId="4" xfId="1" applyNumberFormat="1" applyFont="1" applyBorder="1" applyAlignment="1">
      <alignment vertical="center" wrapText="1"/>
    </xf>
    <xf numFmtId="0" fontId="0" fillId="16" borderId="7" xfId="1" applyFont="1" applyFill="1" applyBorder="1"/>
    <xf numFmtId="0" fontId="9" fillId="17" borderId="9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1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11" xfId="1" applyFont="1" applyFill="1" applyBorder="1" applyAlignment="1">
      <alignment horizontal="center"/>
    </xf>
    <xf numFmtId="0" fontId="9" fillId="19" borderId="9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19" borderId="11" xfId="1" applyFont="1" applyFill="1" applyBorder="1" applyAlignment="1">
      <alignment horizontal="center"/>
    </xf>
    <xf numFmtId="0" fontId="9" fillId="20" borderId="9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11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11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11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23" borderId="1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11" xfId="1" applyFont="1" applyFill="1" applyBorder="1" applyAlignment="1">
      <alignment horizontal="center"/>
    </xf>
    <xf numFmtId="0" fontId="4" fillId="9" borderId="2" xfId="1" applyFont="1" applyFill="1" applyBorder="1" applyAlignment="1">
      <alignment horizontal="center" vertical="center"/>
    </xf>
    <xf numFmtId="0" fontId="1" fillId="0" borderId="3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176" fontId="1" fillId="0" borderId="3" xfId="1" applyNumberFormat="1" applyFont="1" applyBorder="1" applyAlignment="1">
      <alignment vertical="center"/>
    </xf>
    <xf numFmtId="176" fontId="1" fillId="0" borderId="4" xfId="1" applyNumberFormat="1" applyFont="1" applyBorder="1" applyAlignment="1">
      <alignment vertical="center"/>
    </xf>
    <xf numFmtId="176" fontId="5" fillId="5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11" fillId="26" borderId="4" xfId="1" applyFont="1" applyFill="1" applyBorder="1" applyAlignment="1">
      <alignment horizontal="center" vertical="center" wrapText="1"/>
    </xf>
    <xf numFmtId="0" fontId="11" fillId="27" borderId="4" xfId="1" applyFont="1" applyFill="1" applyBorder="1" applyAlignment="1">
      <alignment horizontal="center" vertical="center" wrapText="1"/>
    </xf>
    <xf numFmtId="0" fontId="4" fillId="24" borderId="0" xfId="1" applyFont="1" applyFill="1" applyAlignment="1">
      <alignment horizontal="center" vertical="center"/>
    </xf>
    <xf numFmtId="177" fontId="8" fillId="16" borderId="2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標準" xfId="0" builtinId="0"/>
  </cellStyles>
  <dxfs count="36"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MotionSpecsTable" displayName="MotionSpecsTable" ref="A4:K18" totalsRowShown="0">
  <autoFilter ref="A4:K18" xr:uid="{00000000-0009-0000-0100-000004000000}"/>
  <tableColumns count="11">
    <tableColumn id="1" xr3:uid="{00000000-0010-0000-0000-000001000000}" name="仕様ID"/>
    <tableColumn id="2" xr3:uid="{00000000-0010-0000-0000-000002000000}" name="担当"/>
    <tableColumn id="3" xr3:uid="{00000000-0010-0000-0000-000003000000}" name="対象"/>
    <tableColumn id="4" xr3:uid="{00000000-0010-0000-0000-000004000000}" name="モーション／動作"/>
    <tableColumn id="5" xr3:uid="{00000000-0010-0000-0000-000005000000}" name="制作・修正内容"/>
    <tableColumn id="6" xr3:uid="{00000000-0010-0000-0000-000006000000}" name="タイミング・技術条件"/>
    <tableColumn id="7" xr3:uid="{00000000-0010-0000-0000-000007000000}" name="完了条件"/>
    <tableColumn id="8" xr3:uid="{00000000-0010-0000-0000-000008000000}" name="連携"/>
    <tableColumn id="9" xr3:uid="{00000000-0010-0000-0000-000009000000}" name="優先度"/>
    <tableColumn id="10" xr3:uid="{00000000-0010-0000-0000-00000A000000}" name="最終期限"/>
    <tableColumn id="11" xr3:uid="{00000000-0010-0000-0000-00000B000000}" name="状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ProgrammerSpecsTable" displayName="ProgrammerSpecsTable" ref="A4:K30" totalsRowShown="0">
  <autoFilter ref="A4:K30" xr:uid="{00000000-0009-0000-0100-000005000000}"/>
  <tableColumns count="11">
    <tableColumn id="1" xr3:uid="{00000000-0010-0000-0100-000001000000}" name="工程ID"/>
    <tableColumn id="2" xr3:uid="{00000000-0010-0000-0100-000002000000}" name="担当"/>
    <tableColumn id="3" xr3:uid="{00000000-0010-0000-0100-000003000000}" name="対象"/>
    <tableColumn id="4" xr3:uid="{00000000-0010-0000-0100-000004000000}" name="作業"/>
    <tableColumn id="5" xr3:uid="{00000000-0010-0000-0100-000005000000}" name="実装内容"/>
    <tableColumn id="6" xr3:uid="{00000000-0010-0000-0100-000006000000}" name="依存・関連"/>
    <tableColumn id="7" xr3:uid="{00000000-0010-0000-0100-000007000000}" name="完了条件"/>
    <tableColumn id="8" xr3:uid="{00000000-0010-0000-0100-000008000000}" name="テスト・確認"/>
    <tableColumn id="9" xr3:uid="{00000000-0010-0000-0100-000009000000}" name="優先度"/>
    <tableColumn id="10" xr3:uid="{00000000-0010-0000-0100-00000A000000}" name="期限"/>
    <tableColumn id="11" xr3:uid="{00000000-0010-0000-0100-00000B000000}" name="状態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ModelerSpecsTable" displayName="ModelerSpecsTable" ref="A4:K13" totalsRowShown="0">
  <autoFilter ref="A4:K13" xr:uid="{00000000-0009-0000-0100-000006000000}"/>
  <tableColumns count="11">
    <tableColumn id="1" xr3:uid="{00000000-0010-0000-0200-000001000000}" name="工程ID"/>
    <tableColumn id="2" xr3:uid="{00000000-0010-0000-0200-000002000000}" name="担当"/>
    <tableColumn id="3" xr3:uid="{00000000-0010-0000-0200-000003000000}" name="対象"/>
    <tableColumn id="4" xr3:uid="{00000000-0010-0000-0200-000004000000}" name="作業"/>
    <tableColumn id="5" xr3:uid="{00000000-0010-0000-0200-000005000000}" name="作業内容"/>
    <tableColumn id="6" xr3:uid="{00000000-0010-0000-0200-000006000000}" name="依存・関連"/>
    <tableColumn id="7" xr3:uid="{00000000-0010-0000-0200-000007000000}" name="完了条件"/>
    <tableColumn id="8" xr3:uid="{00000000-0010-0000-0200-000008000000}" name="確認・連携"/>
    <tableColumn id="9" xr3:uid="{00000000-0010-0000-0200-000009000000}" name="優先度"/>
    <tableColumn id="10" xr3:uid="{00000000-0010-0000-0200-00000A000000}" name="期限"/>
    <tableColumn id="11" xr3:uid="{00000000-0010-0000-0200-00000B000000}" name="状態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S80"/>
  <sheetViews>
    <sheetView showGridLines="0" topLeftCell="A9" workbookViewId="0"/>
  </sheetViews>
  <sheetFormatPr defaultColWidth="8.875" defaultRowHeight="14.1"/>
  <cols>
    <col min="1" max="1" width="14" customWidth="1"/>
    <col min="2" max="2" width="27" customWidth="1"/>
    <col min="3" max="3" width="46" customWidth="1"/>
    <col min="4" max="4" width="34" customWidth="1"/>
    <col min="5" max="5" width="4" customWidth="1"/>
    <col min="6" max="6" width="6" customWidth="1"/>
    <col min="7" max="10" width="18" customWidth="1"/>
  </cols>
  <sheetData>
    <row r="1" spans="1: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20.10000000000000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A5" s="75" t="s">
        <v>2</v>
      </c>
      <c r="B5" s="75"/>
      <c r="C5" s="77" t="s">
        <v>3</v>
      </c>
      <c r="D5" s="77"/>
      <c r="E5" s="2"/>
      <c r="F5" s="78" t="s">
        <v>4</v>
      </c>
      <c r="G5" s="78"/>
      <c r="H5" s="2"/>
      <c r="I5" s="81" t="s">
        <v>5</v>
      </c>
      <c r="J5" s="8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33.950000000000003" customHeight="1">
      <c r="A6" s="76">
        <f>COUNTA(モーション仕様!A5:A18)</f>
        <v>14</v>
      </c>
      <c r="B6" s="76"/>
      <c r="C6" s="76">
        <f>COUNTA(プログラマー仕様!A5:A30)</f>
        <v>26</v>
      </c>
      <c r="D6" s="76"/>
      <c r="E6" s="2"/>
      <c r="F6" s="74">
        <f>スケジュール!G24</f>
        <v>46309</v>
      </c>
      <c r="G6" s="74"/>
      <c r="H6" s="2"/>
      <c r="I6" s="74">
        <f>スケジュール!G26</f>
        <v>46312</v>
      </c>
      <c r="J6" s="7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33.950000000000003" customHeight="1">
      <c r="A9" s="18" t="s">
        <v>6</v>
      </c>
      <c r="B9" s="18" t="s">
        <v>7</v>
      </c>
      <c r="C9" s="18" t="s">
        <v>8</v>
      </c>
      <c r="D9" s="18" t="s">
        <v>9</v>
      </c>
      <c r="E9" s="2"/>
      <c r="F9" s="8" t="s">
        <v>10</v>
      </c>
      <c r="G9" s="8"/>
      <c r="H9" s="8"/>
      <c r="I9" s="8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36" customHeight="1">
      <c r="A10" s="6" t="s">
        <v>11</v>
      </c>
      <c r="B10" s="6" t="s">
        <v>12</v>
      </c>
      <c r="C10" s="6" t="s">
        <v>13</v>
      </c>
      <c r="D10" s="6" t="s">
        <v>14</v>
      </c>
      <c r="E10" s="2"/>
      <c r="F10" s="9" t="s">
        <v>15</v>
      </c>
      <c r="G10" s="10" t="s">
        <v>16</v>
      </c>
      <c r="H10" s="10"/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36" customHeight="1">
      <c r="A11" s="7" t="s">
        <v>17</v>
      </c>
      <c r="B11" s="7" t="s">
        <v>18</v>
      </c>
      <c r="C11" s="7" t="s">
        <v>19</v>
      </c>
      <c r="D11" s="7" t="s">
        <v>20</v>
      </c>
      <c r="E11" s="2"/>
      <c r="F11" s="9" t="s">
        <v>21</v>
      </c>
      <c r="G11" s="10" t="s">
        <v>22</v>
      </c>
      <c r="H11" s="10"/>
      <c r="I11" s="10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36" customHeight="1">
      <c r="A12" s="7" t="s">
        <v>23</v>
      </c>
      <c r="B12" s="7" t="s">
        <v>24</v>
      </c>
      <c r="C12" s="7" t="s">
        <v>25</v>
      </c>
      <c r="D12" s="7" t="s">
        <v>26</v>
      </c>
      <c r="E12" s="2"/>
      <c r="F12" s="9" t="s">
        <v>27</v>
      </c>
      <c r="G12" s="10" t="s">
        <v>28</v>
      </c>
      <c r="H12" s="10"/>
      <c r="I12" s="10"/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36" customHeight="1">
      <c r="A13" s="7" t="s">
        <v>29</v>
      </c>
      <c r="B13" s="7" t="s">
        <v>30</v>
      </c>
      <c r="C13" s="7" t="s">
        <v>31</v>
      </c>
      <c r="D13" s="7" t="s">
        <v>32</v>
      </c>
      <c r="E13" s="2"/>
      <c r="F13" s="9" t="s">
        <v>33</v>
      </c>
      <c r="G13" s="10" t="s">
        <v>34</v>
      </c>
      <c r="H13" s="10"/>
      <c r="I13" s="10"/>
      <c r="J13" s="1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36" customHeight="1">
      <c r="A14" s="7" t="s">
        <v>35</v>
      </c>
      <c r="B14" s="7" t="s">
        <v>36</v>
      </c>
      <c r="C14" s="7" t="s">
        <v>37</v>
      </c>
      <c r="D14" s="7" t="s">
        <v>38</v>
      </c>
      <c r="E14" s="2"/>
      <c r="F14" s="9" t="s">
        <v>39</v>
      </c>
      <c r="G14" s="10" t="s">
        <v>40</v>
      </c>
      <c r="H14" s="10"/>
      <c r="I14" s="10"/>
      <c r="J14" s="1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54" customHeight="1">
      <c r="A15" s="2" t="s">
        <v>41</v>
      </c>
      <c r="B15" s="2" t="s">
        <v>42</v>
      </c>
      <c r="C15" s="2" t="s">
        <v>43</v>
      </c>
      <c r="D15" s="2" t="s">
        <v>44</v>
      </c>
      <c r="E15" s="2"/>
      <c r="F15" s="9" t="s">
        <v>45</v>
      </c>
      <c r="G15" s="10" t="s">
        <v>46</v>
      </c>
      <c r="H15" s="10"/>
      <c r="I15" s="10"/>
      <c r="J15" s="1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36" customHeight="1">
      <c r="A16" s="2"/>
      <c r="B16" s="2"/>
      <c r="C16" s="2"/>
      <c r="D16" s="2"/>
      <c r="E16" s="2"/>
      <c r="F16" s="9" t="s">
        <v>47</v>
      </c>
      <c r="G16" s="11" t="s">
        <v>48</v>
      </c>
      <c r="H16" s="11"/>
      <c r="I16" s="11"/>
      <c r="J16" s="1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customHeight="1">
      <c r="A17" s="69" t="s">
        <v>49</v>
      </c>
      <c r="B17" s="69" t="s">
        <v>50</v>
      </c>
      <c r="C17" s="69" t="s">
        <v>51</v>
      </c>
      <c r="D17" s="69" t="s">
        <v>52</v>
      </c>
      <c r="E17" s="2"/>
      <c r="F17" s="2" t="s">
        <v>53</v>
      </c>
      <c r="G17" s="2" t="s">
        <v>54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32.1" customHeight="1">
      <c r="A18" s="72">
        <v>46295</v>
      </c>
      <c r="B18" s="70" t="s">
        <v>55</v>
      </c>
      <c r="C18" s="70" t="s">
        <v>56</v>
      </c>
      <c r="D18" s="70" t="s">
        <v>57</v>
      </c>
      <c r="E18" s="2"/>
      <c r="F18" s="2" t="s">
        <v>58</v>
      </c>
      <c r="G18" s="2" t="s">
        <v>59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32.1" customHeight="1">
      <c r="A19" s="73">
        <v>46298</v>
      </c>
      <c r="B19" s="71" t="s">
        <v>60</v>
      </c>
      <c r="C19" s="71" t="s">
        <v>61</v>
      </c>
      <c r="D19" s="71" t="s">
        <v>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32.1" customHeight="1">
      <c r="A20" s="73">
        <v>46300</v>
      </c>
      <c r="B20" s="71" t="s">
        <v>62</v>
      </c>
      <c r="C20" s="71" t="s">
        <v>63</v>
      </c>
      <c r="D20" s="71" t="s">
        <v>64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32.1" customHeight="1">
      <c r="A21" s="73">
        <v>46304</v>
      </c>
      <c r="B21" s="71" t="s">
        <v>65</v>
      </c>
      <c r="C21" s="71" t="s">
        <v>66</v>
      </c>
      <c r="D21" s="71" t="s">
        <v>35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32.1" customHeight="1">
      <c r="A22" s="73">
        <v>46308</v>
      </c>
      <c r="B22" s="71" t="s">
        <v>67</v>
      </c>
      <c r="C22" s="71" t="s">
        <v>68</v>
      </c>
      <c r="D22" s="71" t="s">
        <v>35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32.1" customHeight="1">
      <c r="A23" s="73">
        <v>46309</v>
      </c>
      <c r="B23" s="71" t="s">
        <v>4</v>
      </c>
      <c r="C23" s="71" t="s">
        <v>69</v>
      </c>
      <c r="D23" s="71" t="s">
        <v>35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32.1" customHeight="1">
      <c r="A24" s="73">
        <v>46312</v>
      </c>
      <c r="B24" s="71" t="s">
        <v>70</v>
      </c>
      <c r="C24" s="71" t="s">
        <v>71</v>
      </c>
      <c r="D24" s="71" t="s">
        <v>38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33.950000000000003" customHeight="1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</sheetData>
  <mergeCells count="8">
    <mergeCell ref="I5:J5"/>
    <mergeCell ref="I6:J6"/>
    <mergeCell ref="A5:B5"/>
    <mergeCell ref="A6:B6"/>
    <mergeCell ref="C5:D5"/>
    <mergeCell ref="C6:D6"/>
    <mergeCell ref="F5:G5"/>
    <mergeCell ref="F6:G6"/>
  </mergeCells>
  <phoneticPr fontId="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AS80"/>
  <sheetViews>
    <sheetView showGridLines="0" workbookViewId="0">
      <pane xSplit="5" ySplit="5" topLeftCell="F6" activePane="bottomRight" state="frozen"/>
      <selection pane="bottomRight" activeCell="F6" sqref="F6"/>
      <selection pane="bottomLeft"/>
      <selection pane="topRight"/>
    </sheetView>
  </sheetViews>
  <sheetFormatPr defaultColWidth="8.875" defaultRowHeight="14.1"/>
  <cols>
    <col min="1" max="1" width="10" customWidth="1"/>
    <col min="2" max="2" width="13" customWidth="1"/>
    <col min="3" max="3" width="38" customWidth="1"/>
    <col min="4" max="4" width="16" customWidth="1"/>
    <col min="5" max="5" width="25" customWidth="1"/>
    <col min="6" max="7" width="13" customWidth="1"/>
    <col min="8" max="8" width="8" customWidth="1"/>
    <col min="9" max="9" width="22" customWidth="1"/>
    <col min="10" max="10" width="38" customWidth="1"/>
    <col min="11" max="11" width="11" customWidth="1"/>
    <col min="12" max="45" width="4.125" customWidth="1"/>
  </cols>
  <sheetData>
    <row r="1" spans="1: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20.100000000000001">
      <c r="A2" s="3" t="s">
        <v>72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>
      <c r="A3" s="5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33.950000000000003" customHeight="1">
      <c r="A5" s="12" t="s">
        <v>74</v>
      </c>
      <c r="B5" s="12" t="s">
        <v>75</v>
      </c>
      <c r="C5" s="12" t="s">
        <v>76</v>
      </c>
      <c r="D5" s="12" t="s">
        <v>77</v>
      </c>
      <c r="E5" s="12" t="s">
        <v>78</v>
      </c>
      <c r="F5" s="12" t="s">
        <v>79</v>
      </c>
      <c r="G5" s="12" t="s">
        <v>80</v>
      </c>
      <c r="H5" s="12" t="s">
        <v>81</v>
      </c>
      <c r="I5" s="12" t="s">
        <v>82</v>
      </c>
      <c r="J5" s="12" t="s">
        <v>83</v>
      </c>
      <c r="K5" s="12" t="s">
        <v>84</v>
      </c>
      <c r="L5" s="13">
        <v>46279</v>
      </c>
      <c r="M5" s="13">
        <v>46280</v>
      </c>
      <c r="N5" s="13">
        <v>46281</v>
      </c>
      <c r="O5" s="13">
        <v>46282</v>
      </c>
      <c r="P5" s="13">
        <v>46283</v>
      </c>
      <c r="Q5" s="82">
        <v>46284</v>
      </c>
      <c r="R5" s="82">
        <v>46285</v>
      </c>
      <c r="S5" s="13">
        <v>46286</v>
      </c>
      <c r="T5" s="13">
        <v>46287</v>
      </c>
      <c r="U5" s="13">
        <v>46288</v>
      </c>
      <c r="V5" s="13">
        <v>46289</v>
      </c>
      <c r="W5" s="13">
        <v>46290</v>
      </c>
      <c r="X5" s="82">
        <v>46291</v>
      </c>
      <c r="Y5" s="82">
        <v>46292</v>
      </c>
      <c r="Z5" s="13">
        <v>46293</v>
      </c>
      <c r="AA5" s="13">
        <v>46294</v>
      </c>
      <c r="AB5" s="13">
        <v>46295</v>
      </c>
      <c r="AC5" s="13">
        <v>46296</v>
      </c>
      <c r="AD5" s="13">
        <v>46297</v>
      </c>
      <c r="AE5" s="82">
        <v>46298</v>
      </c>
      <c r="AF5" s="82">
        <v>46299</v>
      </c>
      <c r="AG5" s="13">
        <v>46300</v>
      </c>
      <c r="AH5" s="13">
        <v>46301</v>
      </c>
      <c r="AI5" s="13">
        <v>46302</v>
      </c>
      <c r="AJ5" s="13">
        <v>46303</v>
      </c>
      <c r="AK5" s="13">
        <v>46304</v>
      </c>
      <c r="AL5" s="82">
        <v>46305</v>
      </c>
      <c r="AM5" s="82">
        <v>46306</v>
      </c>
      <c r="AN5" s="13">
        <v>46307</v>
      </c>
      <c r="AO5" s="13">
        <v>46308</v>
      </c>
      <c r="AP5" s="13">
        <v>46309</v>
      </c>
      <c r="AQ5" s="13">
        <v>46310</v>
      </c>
      <c r="AR5" s="13">
        <v>46311</v>
      </c>
      <c r="AS5" s="82">
        <v>46312</v>
      </c>
    </row>
    <row r="6" spans="1:45" ht="36" customHeight="1">
      <c r="A6" s="19" t="s">
        <v>85</v>
      </c>
      <c r="B6" s="19" t="s">
        <v>86</v>
      </c>
      <c r="C6" s="19" t="s">
        <v>87</v>
      </c>
      <c r="D6" s="19" t="s">
        <v>88</v>
      </c>
      <c r="E6" s="19" t="s">
        <v>89</v>
      </c>
      <c r="F6" s="39">
        <v>46282</v>
      </c>
      <c r="G6" s="39">
        <v>46298</v>
      </c>
      <c r="H6" s="41">
        <f t="shared" ref="H6:H26" si="0">G6-F6+1</f>
        <v>17</v>
      </c>
      <c r="I6" s="19" t="s">
        <v>90</v>
      </c>
      <c r="J6" s="19" t="s">
        <v>91</v>
      </c>
      <c r="K6" s="19" t="s">
        <v>92</v>
      </c>
      <c r="L6" s="14"/>
      <c r="M6" s="14"/>
      <c r="N6" s="14"/>
      <c r="O6" s="44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6"/>
      <c r="AF6" s="43"/>
      <c r="AG6" s="14"/>
      <c r="AH6" s="14"/>
      <c r="AI6" s="14"/>
      <c r="AJ6" s="14"/>
      <c r="AK6" s="14"/>
      <c r="AL6" s="43"/>
      <c r="AM6" s="43"/>
      <c r="AN6" s="14"/>
      <c r="AO6" s="14"/>
      <c r="AP6" s="14"/>
      <c r="AQ6" s="14"/>
      <c r="AR6" s="14"/>
      <c r="AS6" s="43"/>
    </row>
    <row r="7" spans="1:45" ht="36" customHeight="1">
      <c r="A7" s="20" t="s">
        <v>93</v>
      </c>
      <c r="B7" s="20" t="s">
        <v>86</v>
      </c>
      <c r="C7" s="20" t="s">
        <v>94</v>
      </c>
      <c r="D7" s="20" t="s">
        <v>95</v>
      </c>
      <c r="E7" s="20" t="s">
        <v>96</v>
      </c>
      <c r="F7" s="40">
        <v>46282</v>
      </c>
      <c r="G7" s="40">
        <v>46298</v>
      </c>
      <c r="H7" s="42">
        <f t="shared" si="0"/>
        <v>17</v>
      </c>
      <c r="I7" s="20" t="s">
        <v>90</v>
      </c>
      <c r="J7" s="20" t="s">
        <v>97</v>
      </c>
      <c r="K7" s="20" t="s">
        <v>92</v>
      </c>
      <c r="L7" s="14"/>
      <c r="M7" s="14"/>
      <c r="N7" s="14"/>
      <c r="O7" s="47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9"/>
      <c r="AF7" s="43"/>
      <c r="AG7" s="14"/>
      <c r="AH7" s="14"/>
      <c r="AI7" s="14"/>
      <c r="AJ7" s="14"/>
      <c r="AK7" s="14"/>
      <c r="AL7" s="43"/>
      <c r="AM7" s="43"/>
      <c r="AN7" s="14"/>
      <c r="AO7" s="14"/>
      <c r="AP7" s="14"/>
      <c r="AQ7" s="14"/>
      <c r="AR7" s="14"/>
      <c r="AS7" s="43"/>
    </row>
    <row r="8" spans="1:45" ht="36" customHeight="1">
      <c r="A8" s="20" t="s">
        <v>98</v>
      </c>
      <c r="B8" s="20" t="s">
        <v>99</v>
      </c>
      <c r="C8" s="20" t="s">
        <v>100</v>
      </c>
      <c r="D8" s="20" t="s">
        <v>29</v>
      </c>
      <c r="E8" s="20" t="s">
        <v>11</v>
      </c>
      <c r="F8" s="40">
        <v>46279</v>
      </c>
      <c r="G8" s="40">
        <v>46293</v>
      </c>
      <c r="H8" s="42">
        <f t="shared" si="0"/>
        <v>15</v>
      </c>
      <c r="I8" s="20" t="s">
        <v>90</v>
      </c>
      <c r="J8" s="20" t="s">
        <v>101</v>
      </c>
      <c r="K8" s="20" t="s">
        <v>92</v>
      </c>
      <c r="L8" s="50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/>
      <c r="AA8" s="14"/>
      <c r="AB8" s="14"/>
      <c r="AC8" s="14"/>
      <c r="AD8" s="14"/>
      <c r="AE8" s="43"/>
      <c r="AF8" s="43"/>
      <c r="AG8" s="14"/>
      <c r="AH8" s="14"/>
      <c r="AI8" s="14"/>
      <c r="AJ8" s="14"/>
      <c r="AK8" s="14"/>
      <c r="AL8" s="43"/>
      <c r="AM8" s="43"/>
      <c r="AN8" s="14"/>
      <c r="AO8" s="14"/>
      <c r="AP8" s="14"/>
      <c r="AQ8" s="14"/>
      <c r="AR8" s="14"/>
      <c r="AS8" s="43"/>
    </row>
    <row r="9" spans="1:45" ht="36" customHeight="1">
      <c r="A9" s="20" t="s">
        <v>102</v>
      </c>
      <c r="B9" s="20" t="s">
        <v>99</v>
      </c>
      <c r="C9" s="20" t="s">
        <v>103</v>
      </c>
      <c r="D9" s="20" t="s">
        <v>23</v>
      </c>
      <c r="E9" s="20" t="s">
        <v>17</v>
      </c>
      <c r="F9" s="40">
        <v>46279</v>
      </c>
      <c r="G9" s="40">
        <v>46297</v>
      </c>
      <c r="H9" s="42">
        <f t="shared" si="0"/>
        <v>19</v>
      </c>
      <c r="I9" s="20" t="s">
        <v>90</v>
      </c>
      <c r="J9" s="20" t="s">
        <v>104</v>
      </c>
      <c r="K9" s="20" t="s">
        <v>92</v>
      </c>
      <c r="L9" s="53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5"/>
      <c r="AE9" s="43"/>
      <c r="AF9" s="43"/>
      <c r="AG9" s="14"/>
      <c r="AH9" s="14"/>
      <c r="AI9" s="14"/>
      <c r="AJ9" s="14"/>
      <c r="AK9" s="14"/>
      <c r="AL9" s="43"/>
      <c r="AM9" s="43"/>
      <c r="AN9" s="14"/>
      <c r="AO9" s="14"/>
      <c r="AP9" s="14"/>
      <c r="AQ9" s="14"/>
      <c r="AR9" s="14"/>
      <c r="AS9" s="43"/>
    </row>
    <row r="10" spans="1:45" ht="36" customHeight="1">
      <c r="A10" s="20" t="s">
        <v>105</v>
      </c>
      <c r="B10" s="20" t="s">
        <v>99</v>
      </c>
      <c r="C10" s="20" t="s">
        <v>106</v>
      </c>
      <c r="D10" s="20" t="s">
        <v>29</v>
      </c>
      <c r="E10" s="20" t="s">
        <v>35</v>
      </c>
      <c r="F10" s="40">
        <v>46286</v>
      </c>
      <c r="G10" s="40">
        <v>46294</v>
      </c>
      <c r="H10" s="42">
        <f t="shared" si="0"/>
        <v>9</v>
      </c>
      <c r="I10" s="20" t="s">
        <v>90</v>
      </c>
      <c r="J10" s="20" t="s">
        <v>107</v>
      </c>
      <c r="K10" s="20" t="s">
        <v>92</v>
      </c>
      <c r="L10" s="14"/>
      <c r="M10" s="14"/>
      <c r="N10" s="14"/>
      <c r="O10" s="14"/>
      <c r="P10" s="14"/>
      <c r="Q10" s="43"/>
      <c r="R10" s="43"/>
      <c r="S10" s="50"/>
      <c r="T10" s="51"/>
      <c r="U10" s="51"/>
      <c r="V10" s="51"/>
      <c r="W10" s="51"/>
      <c r="X10" s="51"/>
      <c r="Y10" s="51"/>
      <c r="Z10" s="51"/>
      <c r="AA10" s="52"/>
      <c r="AB10" s="14"/>
      <c r="AC10" s="14"/>
      <c r="AD10" s="14"/>
      <c r="AE10" s="43"/>
      <c r="AF10" s="43"/>
      <c r="AG10" s="14"/>
      <c r="AH10" s="14"/>
      <c r="AI10" s="14"/>
      <c r="AJ10" s="14"/>
      <c r="AK10" s="14"/>
      <c r="AL10" s="43"/>
      <c r="AM10" s="43"/>
      <c r="AN10" s="14"/>
      <c r="AO10" s="14"/>
      <c r="AP10" s="14"/>
      <c r="AQ10" s="14"/>
      <c r="AR10" s="14"/>
      <c r="AS10" s="43"/>
    </row>
    <row r="11" spans="1:45" ht="36" customHeight="1">
      <c r="A11" s="20" t="s">
        <v>108</v>
      </c>
      <c r="B11" s="20" t="s">
        <v>109</v>
      </c>
      <c r="C11" s="20" t="s">
        <v>110</v>
      </c>
      <c r="D11" s="20" t="s">
        <v>11</v>
      </c>
      <c r="E11" s="20" t="s">
        <v>29</v>
      </c>
      <c r="F11" s="40">
        <v>46280</v>
      </c>
      <c r="G11" s="40">
        <v>46295</v>
      </c>
      <c r="H11" s="42">
        <f t="shared" si="0"/>
        <v>16</v>
      </c>
      <c r="I11" s="20" t="s">
        <v>90</v>
      </c>
      <c r="J11" s="20" t="s">
        <v>111</v>
      </c>
      <c r="K11" s="20" t="s">
        <v>92</v>
      </c>
      <c r="L11" s="14"/>
      <c r="M11" s="56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8"/>
      <c r="AC11" s="14"/>
      <c r="AD11" s="14"/>
      <c r="AE11" s="43"/>
      <c r="AF11" s="43"/>
      <c r="AG11" s="14"/>
      <c r="AH11" s="14"/>
      <c r="AI11" s="14"/>
      <c r="AJ11" s="14"/>
      <c r="AK11" s="14"/>
      <c r="AL11" s="43"/>
      <c r="AM11" s="43"/>
      <c r="AN11" s="14"/>
      <c r="AO11" s="14"/>
      <c r="AP11" s="14"/>
      <c r="AQ11" s="14"/>
      <c r="AR11" s="14"/>
      <c r="AS11" s="43"/>
    </row>
    <row r="12" spans="1:45" ht="36" customHeight="1">
      <c r="A12" s="20" t="s">
        <v>112</v>
      </c>
      <c r="B12" s="20" t="s">
        <v>109</v>
      </c>
      <c r="C12" s="20" t="s">
        <v>113</v>
      </c>
      <c r="D12" s="20" t="s">
        <v>17</v>
      </c>
      <c r="E12" s="20" t="s">
        <v>23</v>
      </c>
      <c r="F12" s="40">
        <v>46280</v>
      </c>
      <c r="G12" s="40">
        <v>46295</v>
      </c>
      <c r="H12" s="42">
        <f t="shared" si="0"/>
        <v>16</v>
      </c>
      <c r="I12" s="20" t="s">
        <v>90</v>
      </c>
      <c r="J12" s="20" t="s">
        <v>114</v>
      </c>
      <c r="K12" s="20" t="s">
        <v>92</v>
      </c>
      <c r="L12" s="14"/>
      <c r="M12" s="59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1"/>
      <c r="AC12" s="14"/>
      <c r="AD12" s="14"/>
      <c r="AE12" s="43"/>
      <c r="AF12" s="43"/>
      <c r="AG12" s="14"/>
      <c r="AH12" s="14"/>
      <c r="AI12" s="14"/>
      <c r="AJ12" s="14"/>
      <c r="AK12" s="14"/>
      <c r="AL12" s="43"/>
      <c r="AM12" s="43"/>
      <c r="AN12" s="14"/>
      <c r="AO12" s="14"/>
      <c r="AP12" s="14"/>
      <c r="AQ12" s="14"/>
      <c r="AR12" s="14"/>
      <c r="AS12" s="43"/>
    </row>
    <row r="13" spans="1:45" ht="36" customHeight="1">
      <c r="A13" s="20" t="s">
        <v>115</v>
      </c>
      <c r="B13" s="20" t="s">
        <v>116</v>
      </c>
      <c r="C13" s="20" t="s">
        <v>117</v>
      </c>
      <c r="D13" s="20" t="s">
        <v>29</v>
      </c>
      <c r="E13" s="20" t="s">
        <v>118</v>
      </c>
      <c r="F13" s="40">
        <v>46291</v>
      </c>
      <c r="G13" s="40">
        <v>46300</v>
      </c>
      <c r="H13" s="42">
        <f t="shared" si="0"/>
        <v>10</v>
      </c>
      <c r="I13" s="20" t="s">
        <v>119</v>
      </c>
      <c r="J13" s="20" t="s">
        <v>120</v>
      </c>
      <c r="K13" s="20" t="s">
        <v>92</v>
      </c>
      <c r="L13" s="14"/>
      <c r="M13" s="14"/>
      <c r="N13" s="14"/>
      <c r="O13" s="14"/>
      <c r="P13" s="14"/>
      <c r="Q13" s="43"/>
      <c r="R13" s="43"/>
      <c r="S13" s="14"/>
      <c r="T13" s="14"/>
      <c r="U13" s="14"/>
      <c r="V13" s="14"/>
      <c r="W13" s="14"/>
      <c r="X13" s="50"/>
      <c r="Y13" s="51"/>
      <c r="Z13" s="51"/>
      <c r="AA13" s="51"/>
      <c r="AB13" s="51"/>
      <c r="AC13" s="51"/>
      <c r="AD13" s="51"/>
      <c r="AE13" s="51"/>
      <c r="AF13" s="51"/>
      <c r="AG13" s="52"/>
      <c r="AH13" s="14"/>
      <c r="AI13" s="14"/>
      <c r="AJ13" s="14"/>
      <c r="AK13" s="14"/>
      <c r="AL13" s="43"/>
      <c r="AM13" s="43"/>
      <c r="AN13" s="14"/>
      <c r="AO13" s="14"/>
      <c r="AP13" s="14"/>
      <c r="AQ13" s="14"/>
      <c r="AR13" s="14"/>
      <c r="AS13" s="43"/>
    </row>
    <row r="14" spans="1:45" ht="36" customHeight="1">
      <c r="A14" s="20" t="s">
        <v>121</v>
      </c>
      <c r="B14" s="20" t="s">
        <v>116</v>
      </c>
      <c r="C14" s="20" t="s">
        <v>122</v>
      </c>
      <c r="D14" s="20" t="s">
        <v>64</v>
      </c>
      <c r="E14" s="20" t="s">
        <v>123</v>
      </c>
      <c r="F14" s="40">
        <v>46291</v>
      </c>
      <c r="G14" s="40">
        <v>46300</v>
      </c>
      <c r="H14" s="42">
        <f t="shared" si="0"/>
        <v>10</v>
      </c>
      <c r="I14" s="20" t="s">
        <v>93</v>
      </c>
      <c r="J14" s="20" t="s">
        <v>124</v>
      </c>
      <c r="K14" s="20" t="s">
        <v>92</v>
      </c>
      <c r="L14" s="14"/>
      <c r="M14" s="14"/>
      <c r="N14" s="14"/>
      <c r="O14" s="14"/>
      <c r="P14" s="14"/>
      <c r="Q14" s="43"/>
      <c r="R14" s="43"/>
      <c r="S14" s="14"/>
      <c r="T14" s="14"/>
      <c r="U14" s="14"/>
      <c r="V14" s="14"/>
      <c r="W14" s="14"/>
      <c r="X14" s="62"/>
      <c r="Y14" s="63"/>
      <c r="Z14" s="63"/>
      <c r="AA14" s="63"/>
      <c r="AB14" s="63"/>
      <c r="AC14" s="63"/>
      <c r="AD14" s="63"/>
      <c r="AE14" s="63"/>
      <c r="AF14" s="63"/>
      <c r="AG14" s="64"/>
      <c r="AH14" s="14"/>
      <c r="AI14" s="14"/>
      <c r="AJ14" s="14"/>
      <c r="AK14" s="14"/>
      <c r="AL14" s="43"/>
      <c r="AM14" s="43"/>
      <c r="AN14" s="14"/>
      <c r="AO14" s="14"/>
      <c r="AP14" s="14"/>
      <c r="AQ14" s="14"/>
      <c r="AR14" s="14"/>
      <c r="AS14" s="43"/>
    </row>
    <row r="15" spans="1:45" ht="36" customHeight="1">
      <c r="A15" s="20" t="s">
        <v>125</v>
      </c>
      <c r="B15" s="20" t="s">
        <v>116</v>
      </c>
      <c r="C15" s="20" t="s">
        <v>126</v>
      </c>
      <c r="D15" s="20" t="s">
        <v>29</v>
      </c>
      <c r="E15" s="20" t="s">
        <v>11</v>
      </c>
      <c r="F15" s="40">
        <v>46293</v>
      </c>
      <c r="G15" s="40">
        <v>46298</v>
      </c>
      <c r="H15" s="42">
        <f t="shared" si="0"/>
        <v>6</v>
      </c>
      <c r="I15" s="20" t="s">
        <v>127</v>
      </c>
      <c r="J15" s="20" t="s">
        <v>128</v>
      </c>
      <c r="K15" s="20" t="s">
        <v>92</v>
      </c>
      <c r="L15" s="14"/>
      <c r="M15" s="14"/>
      <c r="N15" s="14"/>
      <c r="O15" s="14"/>
      <c r="P15" s="14"/>
      <c r="Q15" s="43"/>
      <c r="R15" s="43"/>
      <c r="S15" s="14"/>
      <c r="T15" s="14"/>
      <c r="U15" s="14"/>
      <c r="V15" s="14"/>
      <c r="W15" s="14"/>
      <c r="X15" s="43"/>
      <c r="Y15" s="43"/>
      <c r="Z15" s="50"/>
      <c r="AA15" s="51"/>
      <c r="AB15" s="51"/>
      <c r="AC15" s="51"/>
      <c r="AD15" s="51"/>
      <c r="AE15" s="52"/>
      <c r="AF15" s="43"/>
      <c r="AG15" s="14"/>
      <c r="AH15" s="14"/>
      <c r="AI15" s="14"/>
      <c r="AJ15" s="14"/>
      <c r="AK15" s="14"/>
      <c r="AL15" s="43"/>
      <c r="AM15" s="43"/>
      <c r="AN15" s="14"/>
      <c r="AO15" s="14"/>
      <c r="AP15" s="14"/>
      <c r="AQ15" s="14"/>
      <c r="AR15" s="14"/>
      <c r="AS15" s="43"/>
    </row>
    <row r="16" spans="1:45" ht="36" customHeight="1">
      <c r="A16" s="20" t="s">
        <v>129</v>
      </c>
      <c r="B16" s="20" t="s">
        <v>116</v>
      </c>
      <c r="C16" s="20" t="s">
        <v>130</v>
      </c>
      <c r="D16" s="20" t="s">
        <v>23</v>
      </c>
      <c r="E16" s="20" t="s">
        <v>17</v>
      </c>
      <c r="F16" s="40">
        <v>46293</v>
      </c>
      <c r="G16" s="40">
        <v>46298</v>
      </c>
      <c r="H16" s="42">
        <f t="shared" si="0"/>
        <v>6</v>
      </c>
      <c r="I16" s="20" t="s">
        <v>131</v>
      </c>
      <c r="J16" s="20" t="s">
        <v>132</v>
      </c>
      <c r="K16" s="20" t="s">
        <v>92</v>
      </c>
      <c r="L16" s="14"/>
      <c r="M16" s="14"/>
      <c r="N16" s="14"/>
      <c r="O16" s="14"/>
      <c r="P16" s="14"/>
      <c r="Q16" s="43"/>
      <c r="R16" s="43"/>
      <c r="S16" s="14"/>
      <c r="T16" s="14"/>
      <c r="U16" s="14"/>
      <c r="V16" s="14"/>
      <c r="W16" s="14"/>
      <c r="X16" s="43"/>
      <c r="Y16" s="43"/>
      <c r="Z16" s="53"/>
      <c r="AA16" s="54"/>
      <c r="AB16" s="54"/>
      <c r="AC16" s="54"/>
      <c r="AD16" s="54"/>
      <c r="AE16" s="55"/>
      <c r="AF16" s="43"/>
      <c r="AG16" s="14"/>
      <c r="AH16" s="14"/>
      <c r="AI16" s="14"/>
      <c r="AJ16" s="14"/>
      <c r="AK16" s="14"/>
      <c r="AL16" s="43"/>
      <c r="AM16" s="43"/>
      <c r="AN16" s="14"/>
      <c r="AO16" s="14"/>
      <c r="AP16" s="14"/>
      <c r="AQ16" s="14"/>
      <c r="AR16" s="14"/>
      <c r="AS16" s="43"/>
    </row>
    <row r="17" spans="1:45" ht="36" customHeight="1">
      <c r="A17" s="20" t="s">
        <v>133</v>
      </c>
      <c r="B17" s="20" t="s">
        <v>116</v>
      </c>
      <c r="C17" s="20" t="s">
        <v>134</v>
      </c>
      <c r="D17" s="20" t="s">
        <v>64</v>
      </c>
      <c r="E17" s="20" t="s">
        <v>35</v>
      </c>
      <c r="F17" s="40">
        <v>46293</v>
      </c>
      <c r="G17" s="40">
        <v>46300</v>
      </c>
      <c r="H17" s="42">
        <f t="shared" si="0"/>
        <v>8</v>
      </c>
      <c r="I17" s="20" t="s">
        <v>135</v>
      </c>
      <c r="J17" s="20" t="s">
        <v>136</v>
      </c>
      <c r="K17" s="20" t="s">
        <v>92</v>
      </c>
      <c r="L17" s="14"/>
      <c r="M17" s="14"/>
      <c r="N17" s="14"/>
      <c r="O17" s="14"/>
      <c r="P17" s="14"/>
      <c r="Q17" s="43"/>
      <c r="R17" s="43"/>
      <c r="S17" s="14"/>
      <c r="T17" s="14"/>
      <c r="U17" s="14"/>
      <c r="V17" s="14"/>
      <c r="W17" s="14"/>
      <c r="X17" s="43"/>
      <c r="Y17" s="43"/>
      <c r="Z17" s="62"/>
      <c r="AA17" s="63"/>
      <c r="AB17" s="63"/>
      <c r="AC17" s="63"/>
      <c r="AD17" s="63"/>
      <c r="AE17" s="63"/>
      <c r="AF17" s="63"/>
      <c r="AG17" s="64"/>
      <c r="AH17" s="14"/>
      <c r="AI17" s="14"/>
      <c r="AJ17" s="14"/>
      <c r="AK17" s="14"/>
      <c r="AL17" s="43"/>
      <c r="AM17" s="43"/>
      <c r="AN17" s="14"/>
      <c r="AO17" s="14"/>
      <c r="AP17" s="14"/>
      <c r="AQ17" s="14"/>
      <c r="AR17" s="14"/>
      <c r="AS17" s="43"/>
    </row>
    <row r="18" spans="1:45" ht="36" customHeight="1">
      <c r="A18" s="20" t="s">
        <v>137</v>
      </c>
      <c r="B18" s="20" t="s">
        <v>50</v>
      </c>
      <c r="C18" s="20" t="s">
        <v>62</v>
      </c>
      <c r="D18" s="20" t="s">
        <v>64</v>
      </c>
      <c r="E18" s="20" t="s">
        <v>35</v>
      </c>
      <c r="F18" s="40">
        <v>46300</v>
      </c>
      <c r="G18" s="40">
        <v>46300</v>
      </c>
      <c r="H18" s="42">
        <f t="shared" si="0"/>
        <v>1</v>
      </c>
      <c r="I18" s="20" t="s">
        <v>138</v>
      </c>
      <c r="J18" s="20" t="s">
        <v>139</v>
      </c>
      <c r="K18" s="20" t="s">
        <v>92</v>
      </c>
      <c r="L18" s="14"/>
      <c r="M18" s="14"/>
      <c r="N18" s="14"/>
      <c r="O18" s="14"/>
      <c r="P18" s="14"/>
      <c r="Q18" s="43"/>
      <c r="R18" s="43"/>
      <c r="S18" s="14"/>
      <c r="T18" s="14"/>
      <c r="U18" s="14"/>
      <c r="V18" s="14"/>
      <c r="W18" s="14"/>
      <c r="X18" s="43"/>
      <c r="Y18" s="43"/>
      <c r="Z18" s="14"/>
      <c r="AA18" s="14"/>
      <c r="AB18" s="14"/>
      <c r="AC18" s="14"/>
      <c r="AD18" s="14"/>
      <c r="AE18" s="43"/>
      <c r="AF18" s="43"/>
      <c r="AG18" s="65" t="s">
        <v>140</v>
      </c>
      <c r="AH18" s="14"/>
      <c r="AI18" s="14"/>
      <c r="AJ18" s="14"/>
      <c r="AK18" s="14"/>
      <c r="AL18" s="43"/>
      <c r="AM18" s="43"/>
      <c r="AN18" s="14"/>
      <c r="AO18" s="14"/>
      <c r="AP18" s="14"/>
      <c r="AQ18" s="14"/>
      <c r="AR18" s="14"/>
      <c r="AS18" s="43"/>
    </row>
    <row r="19" spans="1:45" ht="36" customHeight="1">
      <c r="A19" s="20" t="s">
        <v>141</v>
      </c>
      <c r="B19" s="20" t="s">
        <v>142</v>
      </c>
      <c r="C19" s="20" t="s">
        <v>143</v>
      </c>
      <c r="D19" s="20" t="s">
        <v>35</v>
      </c>
      <c r="E19" s="20" t="s">
        <v>38</v>
      </c>
      <c r="F19" s="40">
        <v>46301</v>
      </c>
      <c r="G19" s="40">
        <v>46304</v>
      </c>
      <c r="H19" s="42">
        <f t="shared" si="0"/>
        <v>4</v>
      </c>
      <c r="I19" s="20" t="s">
        <v>137</v>
      </c>
      <c r="J19" s="20" t="s">
        <v>144</v>
      </c>
      <c r="K19" s="20" t="s">
        <v>92</v>
      </c>
      <c r="L19" s="14"/>
      <c r="M19" s="14"/>
      <c r="N19" s="14"/>
      <c r="O19" s="14"/>
      <c r="P19" s="14"/>
      <c r="Q19" s="43"/>
      <c r="R19" s="43"/>
      <c r="S19" s="14"/>
      <c r="T19" s="14"/>
      <c r="U19" s="14"/>
      <c r="V19" s="14"/>
      <c r="W19" s="14"/>
      <c r="X19" s="43"/>
      <c r="Y19" s="43"/>
      <c r="Z19" s="14"/>
      <c r="AA19" s="14"/>
      <c r="AB19" s="14"/>
      <c r="AC19" s="14"/>
      <c r="AD19" s="14"/>
      <c r="AE19" s="43"/>
      <c r="AF19" s="43"/>
      <c r="AG19" s="14"/>
      <c r="AH19" s="66"/>
      <c r="AI19" s="67"/>
      <c r="AJ19" s="67"/>
      <c r="AK19" s="68"/>
      <c r="AL19" s="43"/>
      <c r="AM19" s="43"/>
      <c r="AN19" s="14"/>
      <c r="AO19" s="14"/>
      <c r="AP19" s="14"/>
      <c r="AQ19" s="14"/>
      <c r="AR19" s="14"/>
      <c r="AS19" s="43"/>
    </row>
    <row r="20" spans="1:45" ht="36" customHeight="1">
      <c r="A20" s="20" t="s">
        <v>145</v>
      </c>
      <c r="B20" s="20" t="s">
        <v>146</v>
      </c>
      <c r="C20" s="20" t="s">
        <v>147</v>
      </c>
      <c r="D20" s="20" t="s">
        <v>64</v>
      </c>
      <c r="E20" s="20" t="s">
        <v>148</v>
      </c>
      <c r="F20" s="40">
        <v>46305</v>
      </c>
      <c r="G20" s="40">
        <v>46307</v>
      </c>
      <c r="H20" s="42">
        <f t="shared" si="0"/>
        <v>3</v>
      </c>
      <c r="I20" s="20" t="s">
        <v>141</v>
      </c>
      <c r="J20" s="20" t="s">
        <v>149</v>
      </c>
      <c r="K20" s="20" t="s">
        <v>92</v>
      </c>
      <c r="L20" s="14"/>
      <c r="M20" s="14"/>
      <c r="N20" s="14"/>
      <c r="O20" s="14"/>
      <c r="P20" s="14"/>
      <c r="Q20" s="43"/>
      <c r="R20" s="43"/>
      <c r="S20" s="14"/>
      <c r="T20" s="14"/>
      <c r="U20" s="14"/>
      <c r="V20" s="14"/>
      <c r="W20" s="14"/>
      <c r="X20" s="43"/>
      <c r="Y20" s="43"/>
      <c r="Z20" s="14"/>
      <c r="AA20" s="14"/>
      <c r="AB20" s="14"/>
      <c r="AC20" s="14"/>
      <c r="AD20" s="14"/>
      <c r="AE20" s="43"/>
      <c r="AF20" s="43"/>
      <c r="AG20" s="14"/>
      <c r="AH20" s="14"/>
      <c r="AI20" s="14"/>
      <c r="AJ20" s="14"/>
      <c r="AK20" s="14"/>
      <c r="AL20" s="62"/>
      <c r="AM20" s="63"/>
      <c r="AN20" s="64"/>
      <c r="AO20" s="14"/>
      <c r="AP20" s="14"/>
      <c r="AQ20" s="14"/>
      <c r="AR20" s="14"/>
      <c r="AS20" s="43"/>
    </row>
    <row r="21" spans="1:45" ht="36" customHeight="1">
      <c r="A21" s="20" t="s">
        <v>150</v>
      </c>
      <c r="B21" s="20" t="s">
        <v>146</v>
      </c>
      <c r="C21" s="20" t="s">
        <v>151</v>
      </c>
      <c r="D21" s="20" t="s">
        <v>95</v>
      </c>
      <c r="E21" s="20" t="s">
        <v>152</v>
      </c>
      <c r="F21" s="40">
        <v>46301</v>
      </c>
      <c r="G21" s="40">
        <v>46307</v>
      </c>
      <c r="H21" s="42">
        <f t="shared" si="0"/>
        <v>7</v>
      </c>
      <c r="I21" s="20" t="s">
        <v>141</v>
      </c>
      <c r="J21" s="20" t="s">
        <v>153</v>
      </c>
      <c r="K21" s="20" t="s">
        <v>92</v>
      </c>
      <c r="L21" s="14"/>
      <c r="M21" s="14"/>
      <c r="N21" s="14"/>
      <c r="O21" s="14"/>
      <c r="P21" s="14"/>
      <c r="Q21" s="43"/>
      <c r="R21" s="43"/>
      <c r="S21" s="14"/>
      <c r="T21" s="14"/>
      <c r="U21" s="14"/>
      <c r="V21" s="14"/>
      <c r="W21" s="14"/>
      <c r="X21" s="43"/>
      <c r="Y21" s="43"/>
      <c r="Z21" s="14"/>
      <c r="AA21" s="14"/>
      <c r="AB21" s="14"/>
      <c r="AC21" s="14"/>
      <c r="AD21" s="14"/>
      <c r="AE21" s="43"/>
      <c r="AF21" s="43"/>
      <c r="AG21" s="14"/>
      <c r="AH21" s="47"/>
      <c r="AI21" s="48"/>
      <c r="AJ21" s="48"/>
      <c r="AK21" s="48"/>
      <c r="AL21" s="48"/>
      <c r="AM21" s="48"/>
      <c r="AN21" s="49"/>
      <c r="AO21" s="14"/>
      <c r="AP21" s="14"/>
      <c r="AQ21" s="14"/>
      <c r="AR21" s="14"/>
      <c r="AS21" s="43"/>
    </row>
    <row r="22" spans="1:45" ht="36" customHeight="1">
      <c r="A22" s="20" t="s">
        <v>154</v>
      </c>
      <c r="B22" s="20" t="s">
        <v>142</v>
      </c>
      <c r="C22" s="20" t="s">
        <v>155</v>
      </c>
      <c r="D22" s="20" t="s">
        <v>35</v>
      </c>
      <c r="E22" s="20" t="s">
        <v>38</v>
      </c>
      <c r="F22" s="40">
        <v>46307</v>
      </c>
      <c r="G22" s="40">
        <v>46308</v>
      </c>
      <c r="H22" s="42">
        <f t="shared" si="0"/>
        <v>2</v>
      </c>
      <c r="I22" s="20" t="s">
        <v>156</v>
      </c>
      <c r="J22" s="20" t="s">
        <v>157</v>
      </c>
      <c r="K22" s="20" t="s">
        <v>92</v>
      </c>
      <c r="L22" s="14"/>
      <c r="M22" s="14"/>
      <c r="N22" s="14"/>
      <c r="O22" s="14"/>
      <c r="P22" s="14"/>
      <c r="Q22" s="43"/>
      <c r="R22" s="43"/>
      <c r="S22" s="14"/>
      <c r="T22" s="14"/>
      <c r="U22" s="14"/>
      <c r="V22" s="14"/>
      <c r="W22" s="14"/>
      <c r="X22" s="43"/>
      <c r="Y22" s="43"/>
      <c r="Z22" s="14"/>
      <c r="AA22" s="14"/>
      <c r="AB22" s="14"/>
      <c r="AC22" s="14"/>
      <c r="AD22" s="14"/>
      <c r="AE22" s="43"/>
      <c r="AF22" s="43"/>
      <c r="AG22" s="14"/>
      <c r="AH22" s="14"/>
      <c r="AI22" s="14"/>
      <c r="AJ22" s="14"/>
      <c r="AK22" s="14"/>
      <c r="AL22" s="43"/>
      <c r="AM22" s="43"/>
      <c r="AN22" s="66"/>
      <c r="AO22" s="68"/>
      <c r="AP22" s="14"/>
      <c r="AQ22" s="14"/>
      <c r="AR22" s="14"/>
      <c r="AS22" s="43"/>
    </row>
    <row r="23" spans="1:45" ht="36" customHeight="1">
      <c r="A23" s="20" t="s">
        <v>158</v>
      </c>
      <c r="B23" s="20" t="s">
        <v>50</v>
      </c>
      <c r="C23" s="20" t="s">
        <v>67</v>
      </c>
      <c r="D23" s="20" t="s">
        <v>35</v>
      </c>
      <c r="E23" s="20" t="s">
        <v>38</v>
      </c>
      <c r="F23" s="40">
        <v>46308</v>
      </c>
      <c r="G23" s="40">
        <v>46308</v>
      </c>
      <c r="H23" s="42">
        <f t="shared" si="0"/>
        <v>1</v>
      </c>
      <c r="I23" s="20" t="s">
        <v>154</v>
      </c>
      <c r="J23" s="20" t="s">
        <v>159</v>
      </c>
      <c r="K23" s="20" t="s">
        <v>92</v>
      </c>
      <c r="L23" s="14"/>
      <c r="M23" s="14"/>
      <c r="N23" s="14"/>
      <c r="O23" s="14"/>
      <c r="P23" s="14"/>
      <c r="Q23" s="43"/>
      <c r="R23" s="43"/>
      <c r="S23" s="14"/>
      <c r="T23" s="14"/>
      <c r="U23" s="14"/>
      <c r="V23" s="14"/>
      <c r="W23" s="14"/>
      <c r="X23" s="43"/>
      <c r="Y23" s="43"/>
      <c r="Z23" s="14"/>
      <c r="AA23" s="14"/>
      <c r="AB23" s="14"/>
      <c r="AC23" s="14"/>
      <c r="AD23" s="14"/>
      <c r="AE23" s="43"/>
      <c r="AF23" s="43"/>
      <c r="AG23" s="14"/>
      <c r="AH23" s="14"/>
      <c r="AI23" s="14"/>
      <c r="AJ23" s="14"/>
      <c r="AK23" s="14"/>
      <c r="AL23" s="43"/>
      <c r="AM23" s="43"/>
      <c r="AN23" s="14"/>
      <c r="AO23" s="65" t="s">
        <v>140</v>
      </c>
      <c r="AP23" s="14"/>
      <c r="AQ23" s="14"/>
      <c r="AR23" s="14"/>
      <c r="AS23" s="43"/>
    </row>
    <row r="24" spans="1:45" ht="36" customHeight="1">
      <c r="A24" s="20" t="s">
        <v>160</v>
      </c>
      <c r="B24" s="20" t="s">
        <v>161</v>
      </c>
      <c r="C24" s="20" t="s">
        <v>162</v>
      </c>
      <c r="D24" s="20" t="s">
        <v>35</v>
      </c>
      <c r="E24" s="20" t="s">
        <v>163</v>
      </c>
      <c r="F24" s="40">
        <v>46309</v>
      </c>
      <c r="G24" s="40">
        <v>46309</v>
      </c>
      <c r="H24" s="42">
        <f t="shared" si="0"/>
        <v>1</v>
      </c>
      <c r="I24" s="20" t="s">
        <v>158</v>
      </c>
      <c r="J24" s="20" t="s">
        <v>164</v>
      </c>
      <c r="K24" s="20" t="s">
        <v>92</v>
      </c>
      <c r="L24" s="14"/>
      <c r="M24" s="14"/>
      <c r="N24" s="14"/>
      <c r="O24" s="14"/>
      <c r="P24" s="14"/>
      <c r="Q24" s="43"/>
      <c r="R24" s="43"/>
      <c r="S24" s="14"/>
      <c r="T24" s="14"/>
      <c r="U24" s="14"/>
      <c r="V24" s="14"/>
      <c r="W24" s="14"/>
      <c r="X24" s="43"/>
      <c r="Y24" s="43"/>
      <c r="Z24" s="14"/>
      <c r="AA24" s="14"/>
      <c r="AB24" s="14"/>
      <c r="AC24" s="14"/>
      <c r="AD24" s="14"/>
      <c r="AE24" s="43"/>
      <c r="AF24" s="43"/>
      <c r="AG24" s="14"/>
      <c r="AH24" s="14"/>
      <c r="AI24" s="14"/>
      <c r="AJ24" s="14"/>
      <c r="AK24" s="14"/>
      <c r="AL24" s="43"/>
      <c r="AM24" s="43"/>
      <c r="AN24" s="14"/>
      <c r="AO24" s="14"/>
      <c r="AP24" s="65" t="s">
        <v>140</v>
      </c>
      <c r="AQ24" s="14"/>
      <c r="AR24" s="14"/>
      <c r="AS24" s="43"/>
    </row>
    <row r="25" spans="1:45" ht="36" customHeight="1">
      <c r="A25" s="20" t="s">
        <v>165</v>
      </c>
      <c r="B25" s="20" t="s">
        <v>166</v>
      </c>
      <c r="C25" s="20" t="s">
        <v>167</v>
      </c>
      <c r="D25" s="20" t="s">
        <v>35</v>
      </c>
      <c r="E25" s="20" t="s">
        <v>38</v>
      </c>
      <c r="F25" s="40">
        <v>46310</v>
      </c>
      <c r="G25" s="40">
        <v>46311</v>
      </c>
      <c r="H25" s="42">
        <f t="shared" si="0"/>
        <v>2</v>
      </c>
      <c r="I25" s="20" t="s">
        <v>160</v>
      </c>
      <c r="J25" s="20" t="s">
        <v>168</v>
      </c>
      <c r="K25" s="20" t="s">
        <v>92</v>
      </c>
      <c r="L25" s="14"/>
      <c r="M25" s="14"/>
      <c r="N25" s="14"/>
      <c r="O25" s="14"/>
      <c r="P25" s="14"/>
      <c r="Q25" s="43"/>
      <c r="R25" s="43"/>
      <c r="S25" s="14"/>
      <c r="T25" s="14"/>
      <c r="U25" s="14"/>
      <c r="V25" s="14"/>
      <c r="W25" s="14"/>
      <c r="X25" s="43"/>
      <c r="Y25" s="43"/>
      <c r="Z25" s="14"/>
      <c r="AA25" s="14"/>
      <c r="AB25" s="14"/>
      <c r="AC25" s="14"/>
      <c r="AD25" s="14"/>
      <c r="AE25" s="43"/>
      <c r="AF25" s="43"/>
      <c r="AG25" s="14"/>
      <c r="AH25" s="14"/>
      <c r="AI25" s="14"/>
      <c r="AJ25" s="14"/>
      <c r="AK25" s="14"/>
      <c r="AL25" s="43"/>
      <c r="AM25" s="43"/>
      <c r="AN25" s="14"/>
      <c r="AO25" s="14"/>
      <c r="AP25" s="14"/>
      <c r="AQ25" s="66"/>
      <c r="AR25" s="68"/>
      <c r="AS25" s="43"/>
    </row>
    <row r="26" spans="1:45" ht="36" customHeight="1">
      <c r="A26" s="20" t="s">
        <v>169</v>
      </c>
      <c r="B26" s="20" t="s">
        <v>170</v>
      </c>
      <c r="C26" s="20" t="s">
        <v>171</v>
      </c>
      <c r="D26" s="20" t="s">
        <v>38</v>
      </c>
      <c r="E26" s="20" t="s">
        <v>172</v>
      </c>
      <c r="F26" s="40">
        <v>46312</v>
      </c>
      <c r="G26" s="40">
        <v>46312</v>
      </c>
      <c r="H26" s="42">
        <f t="shared" si="0"/>
        <v>1</v>
      </c>
      <c r="I26" s="20" t="s">
        <v>165</v>
      </c>
      <c r="J26" s="20" t="s">
        <v>173</v>
      </c>
      <c r="K26" s="20" t="s">
        <v>92</v>
      </c>
      <c r="L26" s="14"/>
      <c r="M26" s="14"/>
      <c r="N26" s="14"/>
      <c r="O26" s="14"/>
      <c r="P26" s="14"/>
      <c r="Q26" s="43"/>
      <c r="R26" s="43"/>
      <c r="S26" s="14"/>
      <c r="T26" s="14"/>
      <c r="U26" s="14"/>
      <c r="V26" s="14"/>
      <c r="W26" s="14"/>
      <c r="X26" s="43"/>
      <c r="Y26" s="43"/>
      <c r="Z26" s="14"/>
      <c r="AA26" s="14"/>
      <c r="AB26" s="14"/>
      <c r="AC26" s="14"/>
      <c r="AD26" s="14"/>
      <c r="AE26" s="43"/>
      <c r="AF26" s="43"/>
      <c r="AG26" s="14"/>
      <c r="AH26" s="14"/>
      <c r="AI26" s="14"/>
      <c r="AJ26" s="14"/>
      <c r="AK26" s="14"/>
      <c r="AL26" s="43"/>
      <c r="AM26" s="43"/>
      <c r="AN26" s="14"/>
      <c r="AO26" s="14"/>
      <c r="AP26" s="14"/>
      <c r="AQ26" s="14"/>
      <c r="AR26" s="14"/>
      <c r="AS26" s="65" t="s">
        <v>140</v>
      </c>
    </row>
    <row r="27" spans="1:45" ht="33.950000000000003" customHeight="1"/>
    <row r="28" spans="1:45" ht="33.950000000000003" customHeight="1"/>
    <row r="29" spans="1:45" ht="33.950000000000003" customHeight="1"/>
    <row r="30" spans="1:45" ht="33.950000000000003" customHeight="1"/>
    <row r="31" spans="1:45" ht="33.950000000000003" customHeight="1"/>
    <row r="32" spans="1:45" ht="33.950000000000003" customHeight="1"/>
    <row r="33" ht="33.950000000000003" customHeight="1"/>
    <row r="34" ht="33.950000000000003" customHeight="1"/>
    <row r="35" ht="33.950000000000003" customHeight="1"/>
    <row r="36" ht="33.950000000000003" customHeight="1"/>
    <row r="37" ht="33.950000000000003" customHeight="1"/>
    <row r="38" ht="33.950000000000003" customHeight="1"/>
    <row r="39" ht="33.950000000000003" customHeight="1"/>
    <row r="40" ht="33.950000000000003" customHeight="1"/>
    <row r="51" spans="1: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</sheetData>
  <phoneticPr fontId="15"/>
  <conditionalFormatting sqref="K6:K26">
    <cfRule type="containsText" dxfId="35" priority="9" operator="containsText" text="完了"/>
    <cfRule type="containsText" dxfId="34" priority="10" operator="containsText" text="進行中"/>
    <cfRule type="containsText" dxfId="33" priority="11" operator="containsText" text="確認待ち"/>
    <cfRule type="containsText" dxfId="32" priority="12" operator="containsText" text="保留"/>
  </conditionalFormatting>
  <conditionalFormatting sqref="K6:K32">
    <cfRule type="containsText" dxfId="31" priority="1" operator="containsText" text="完了"/>
    <cfRule type="containsText" dxfId="30" priority="2" operator="containsText" text="進行中"/>
    <cfRule type="containsText" dxfId="29" priority="3" operator="containsText" text="確認待ち"/>
    <cfRule type="containsText" dxfId="28" priority="4" operator="containsText" text="保留"/>
  </conditionalFormatting>
  <conditionalFormatting sqref="K6:K40">
    <cfRule type="containsText" dxfId="27" priority="5" operator="containsText" text="完了"/>
    <cfRule type="containsText" dxfId="26" priority="6" operator="containsText" text="進行中"/>
    <cfRule type="containsText" dxfId="25" priority="7" operator="containsText" text="確認待ち"/>
    <cfRule type="containsText" dxfId="24" priority="8" operator="containsText" text="保留"/>
  </conditionalFormatting>
  <dataValidations count="1">
    <dataValidation type="list" sqref="K6:K40" xr:uid="{00000000-0002-0000-0100-000000000000}">
      <formula1>"未着手,進行中,確認待ち,完了,保留"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AS80"/>
  <sheetViews>
    <sheetView showGridLines="0" workbookViewId="0">
      <pane xSplit="4" ySplit="4" topLeftCell="E5" activePane="bottomRight" state="frozen"/>
      <selection pane="bottomRight" activeCell="E5" sqref="E5"/>
      <selection pane="bottomLeft"/>
      <selection pane="topRight"/>
    </sheetView>
  </sheetViews>
  <sheetFormatPr defaultColWidth="8.875" defaultRowHeight="14.1"/>
  <cols>
    <col min="1" max="1" width="10" customWidth="1"/>
    <col min="2" max="2" width="13" customWidth="1"/>
    <col min="3" max="3" width="16" customWidth="1"/>
    <col min="4" max="4" width="28" customWidth="1"/>
    <col min="5" max="5" width="55" customWidth="1"/>
    <col min="6" max="6" width="50" customWidth="1"/>
    <col min="7" max="7" width="46" customWidth="1"/>
    <col min="8" max="8" width="43" customWidth="1"/>
    <col min="9" max="9" width="10" customWidth="1"/>
    <col min="10" max="10" width="13" customWidth="1"/>
    <col min="11" max="11" width="11" customWidth="1"/>
    <col min="12" max="12" width="44" customWidth="1"/>
    <col min="13" max="15" width="13" customWidth="1"/>
    <col min="16" max="16" width="10" customWidth="1"/>
    <col min="17" max="17" width="11" customWidth="1"/>
  </cols>
  <sheetData>
    <row r="1" spans="1: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27.95" customHeight="1">
      <c r="A2" s="15" t="s">
        <v>174</v>
      </c>
      <c r="B2" s="16"/>
      <c r="C2" s="16"/>
      <c r="D2" s="16"/>
      <c r="E2" s="16"/>
      <c r="F2" s="16"/>
      <c r="G2" s="16"/>
      <c r="H2" s="16"/>
      <c r="I2" s="16"/>
      <c r="J2" s="16"/>
      <c r="K2" s="1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24" customHeight="1">
      <c r="A3" s="17" t="s">
        <v>175</v>
      </c>
      <c r="B3" s="1"/>
      <c r="C3" s="1"/>
      <c r="D3" s="1"/>
      <c r="E3" s="1"/>
      <c r="F3" s="1"/>
      <c r="G3" s="1"/>
      <c r="H3" s="1"/>
      <c r="I3" s="1"/>
      <c r="J3" s="1"/>
      <c r="K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33.950000000000003" customHeight="1">
      <c r="A4" s="18" t="s">
        <v>176</v>
      </c>
      <c r="B4" s="18" t="s">
        <v>177</v>
      </c>
      <c r="C4" s="18" t="s">
        <v>178</v>
      </c>
      <c r="D4" s="18" t="s">
        <v>179</v>
      </c>
      <c r="E4" s="18" t="s">
        <v>180</v>
      </c>
      <c r="F4" s="18" t="s">
        <v>181</v>
      </c>
      <c r="G4" s="18" t="s">
        <v>182</v>
      </c>
      <c r="H4" s="18" t="s">
        <v>183</v>
      </c>
      <c r="I4" s="18" t="s">
        <v>184</v>
      </c>
      <c r="J4" s="18" t="s">
        <v>185</v>
      </c>
      <c r="K4" s="18" t="s">
        <v>84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11.95" customHeight="1">
      <c r="A5" s="23" t="s">
        <v>186</v>
      </c>
      <c r="B5" s="27" t="s">
        <v>11</v>
      </c>
      <c r="C5" s="21" t="s">
        <v>187</v>
      </c>
      <c r="D5" s="21" t="s">
        <v>188</v>
      </c>
      <c r="E5" s="6" t="s">
        <v>189</v>
      </c>
      <c r="F5" s="6" t="s">
        <v>190</v>
      </c>
      <c r="G5" s="6" t="s">
        <v>191</v>
      </c>
      <c r="H5" s="6" t="s">
        <v>192</v>
      </c>
      <c r="I5" s="23" t="s">
        <v>193</v>
      </c>
      <c r="J5" s="25">
        <v>46293</v>
      </c>
      <c r="K5" s="23" t="s">
        <v>92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111.95" customHeight="1">
      <c r="A6" s="24" t="s">
        <v>194</v>
      </c>
      <c r="B6" s="28" t="s">
        <v>11</v>
      </c>
      <c r="C6" s="22" t="s">
        <v>187</v>
      </c>
      <c r="D6" s="22" t="s">
        <v>195</v>
      </c>
      <c r="E6" s="7" t="s">
        <v>196</v>
      </c>
      <c r="F6" s="7" t="s">
        <v>197</v>
      </c>
      <c r="G6" s="7" t="s">
        <v>198</v>
      </c>
      <c r="H6" s="7" t="s">
        <v>199</v>
      </c>
      <c r="I6" s="24" t="s">
        <v>193</v>
      </c>
      <c r="J6" s="26">
        <v>46293</v>
      </c>
      <c r="K6" s="24" t="s">
        <v>92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11.95" customHeight="1">
      <c r="A7" s="24" t="s">
        <v>200</v>
      </c>
      <c r="B7" s="28" t="s">
        <v>11</v>
      </c>
      <c r="C7" s="22" t="s">
        <v>187</v>
      </c>
      <c r="D7" s="22" t="s">
        <v>201</v>
      </c>
      <c r="E7" s="7" t="s">
        <v>202</v>
      </c>
      <c r="F7" s="7" t="s">
        <v>203</v>
      </c>
      <c r="G7" s="7" t="s">
        <v>204</v>
      </c>
      <c r="H7" s="7" t="s">
        <v>205</v>
      </c>
      <c r="I7" s="24" t="s">
        <v>206</v>
      </c>
      <c r="J7" s="26">
        <v>46294</v>
      </c>
      <c r="K7" s="24" t="s">
        <v>92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111.95" customHeight="1">
      <c r="A8" s="24" t="s">
        <v>207</v>
      </c>
      <c r="B8" s="28" t="s">
        <v>11</v>
      </c>
      <c r="C8" s="22" t="s">
        <v>187</v>
      </c>
      <c r="D8" s="22" t="s">
        <v>208</v>
      </c>
      <c r="E8" s="7" t="s">
        <v>209</v>
      </c>
      <c r="F8" s="7" t="s">
        <v>210</v>
      </c>
      <c r="G8" s="7" t="s">
        <v>211</v>
      </c>
      <c r="H8" s="7" t="s">
        <v>212</v>
      </c>
      <c r="I8" s="24" t="s">
        <v>206</v>
      </c>
      <c r="J8" s="26">
        <v>46295</v>
      </c>
      <c r="K8" s="24" t="s">
        <v>92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111.95" customHeight="1">
      <c r="A9" s="24" t="s">
        <v>213</v>
      </c>
      <c r="B9" s="28" t="s">
        <v>11</v>
      </c>
      <c r="C9" s="22" t="s">
        <v>187</v>
      </c>
      <c r="D9" s="22" t="s">
        <v>214</v>
      </c>
      <c r="E9" s="7" t="s">
        <v>215</v>
      </c>
      <c r="F9" s="7" t="s">
        <v>216</v>
      </c>
      <c r="G9" s="7" t="s">
        <v>217</v>
      </c>
      <c r="H9" s="7" t="s">
        <v>218</v>
      </c>
      <c r="I9" s="24" t="s">
        <v>193</v>
      </c>
      <c r="J9" s="26">
        <v>46295</v>
      </c>
      <c r="K9" s="24" t="s">
        <v>92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111.95" customHeight="1">
      <c r="A10" s="24" t="s">
        <v>219</v>
      </c>
      <c r="B10" s="28" t="s">
        <v>11</v>
      </c>
      <c r="C10" s="22" t="s">
        <v>187</v>
      </c>
      <c r="D10" s="22" t="s">
        <v>220</v>
      </c>
      <c r="E10" s="7" t="s">
        <v>221</v>
      </c>
      <c r="F10" s="7" t="s">
        <v>222</v>
      </c>
      <c r="G10" s="7" t="s">
        <v>223</v>
      </c>
      <c r="H10" s="7" t="s">
        <v>224</v>
      </c>
      <c r="I10" s="24" t="s">
        <v>193</v>
      </c>
      <c r="J10" s="26">
        <v>46294</v>
      </c>
      <c r="K10" s="24" t="s">
        <v>92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11.95" customHeight="1">
      <c r="A11" s="24" t="s">
        <v>225</v>
      </c>
      <c r="B11" s="29" t="s">
        <v>17</v>
      </c>
      <c r="C11" s="22" t="s">
        <v>226</v>
      </c>
      <c r="D11" s="22" t="s">
        <v>188</v>
      </c>
      <c r="E11" s="7" t="s">
        <v>189</v>
      </c>
      <c r="F11" s="7" t="s">
        <v>227</v>
      </c>
      <c r="G11" s="7" t="s">
        <v>228</v>
      </c>
      <c r="H11" s="7" t="s">
        <v>229</v>
      </c>
      <c r="I11" s="24" t="s">
        <v>193</v>
      </c>
      <c r="J11" s="26">
        <v>46293</v>
      </c>
      <c r="K11" s="24" t="s">
        <v>92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111.95" customHeight="1">
      <c r="A12" s="24" t="s">
        <v>230</v>
      </c>
      <c r="B12" s="29" t="s">
        <v>17</v>
      </c>
      <c r="C12" s="22" t="s">
        <v>226</v>
      </c>
      <c r="D12" s="22" t="s">
        <v>208</v>
      </c>
      <c r="E12" s="7" t="s">
        <v>231</v>
      </c>
      <c r="F12" s="7" t="s">
        <v>232</v>
      </c>
      <c r="G12" s="7" t="s">
        <v>233</v>
      </c>
      <c r="H12" s="7" t="s">
        <v>234</v>
      </c>
      <c r="I12" s="24" t="s">
        <v>206</v>
      </c>
      <c r="J12" s="26">
        <v>46295</v>
      </c>
      <c r="K12" s="24" t="s">
        <v>92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111.95" customHeight="1">
      <c r="A13" s="24" t="s">
        <v>235</v>
      </c>
      <c r="B13" s="29" t="s">
        <v>17</v>
      </c>
      <c r="C13" s="22" t="s">
        <v>226</v>
      </c>
      <c r="D13" s="22" t="s">
        <v>236</v>
      </c>
      <c r="E13" s="7" t="s">
        <v>237</v>
      </c>
      <c r="F13" s="7" t="s">
        <v>238</v>
      </c>
      <c r="G13" s="7" t="s">
        <v>239</v>
      </c>
      <c r="H13" s="7" t="s">
        <v>240</v>
      </c>
      <c r="I13" s="24" t="s">
        <v>206</v>
      </c>
      <c r="J13" s="26">
        <v>46293</v>
      </c>
      <c r="K13" s="24" t="s">
        <v>92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111.95" customHeight="1">
      <c r="A14" s="24" t="s">
        <v>241</v>
      </c>
      <c r="B14" s="29" t="s">
        <v>17</v>
      </c>
      <c r="C14" s="22" t="s">
        <v>226</v>
      </c>
      <c r="D14" s="22" t="s">
        <v>242</v>
      </c>
      <c r="E14" s="7" t="s">
        <v>243</v>
      </c>
      <c r="F14" s="7" t="s">
        <v>244</v>
      </c>
      <c r="G14" s="7" t="s">
        <v>245</v>
      </c>
      <c r="H14" s="7" t="s">
        <v>246</v>
      </c>
      <c r="I14" s="24" t="s">
        <v>193</v>
      </c>
      <c r="J14" s="26">
        <v>46293</v>
      </c>
      <c r="K14" s="24" t="s">
        <v>92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111.95" customHeight="1">
      <c r="A15" s="24" t="s">
        <v>247</v>
      </c>
      <c r="B15" s="29" t="s">
        <v>17</v>
      </c>
      <c r="C15" s="22" t="s">
        <v>226</v>
      </c>
      <c r="D15" s="22" t="s">
        <v>248</v>
      </c>
      <c r="E15" s="7" t="s">
        <v>249</v>
      </c>
      <c r="F15" s="7" t="s">
        <v>250</v>
      </c>
      <c r="G15" s="7" t="s">
        <v>251</v>
      </c>
      <c r="H15" s="7" t="s">
        <v>252</v>
      </c>
      <c r="I15" s="24" t="s">
        <v>206</v>
      </c>
      <c r="J15" s="26">
        <v>46294</v>
      </c>
      <c r="K15" s="24" t="s">
        <v>92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111.95" customHeight="1">
      <c r="A16" s="24" t="s">
        <v>253</v>
      </c>
      <c r="B16" s="29" t="s">
        <v>17</v>
      </c>
      <c r="C16" s="22" t="s">
        <v>226</v>
      </c>
      <c r="D16" s="22" t="s">
        <v>254</v>
      </c>
      <c r="E16" s="7" t="s">
        <v>255</v>
      </c>
      <c r="F16" s="7" t="s">
        <v>256</v>
      </c>
      <c r="G16" s="7" t="s">
        <v>257</v>
      </c>
      <c r="H16" s="7" t="s">
        <v>258</v>
      </c>
      <c r="I16" s="24" t="s">
        <v>193</v>
      </c>
      <c r="J16" s="26">
        <v>46295</v>
      </c>
      <c r="K16" s="24" t="s">
        <v>92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11.95" customHeight="1">
      <c r="A17" s="24" t="s">
        <v>259</v>
      </c>
      <c r="B17" s="29" t="s">
        <v>17</v>
      </c>
      <c r="C17" s="22" t="s">
        <v>226</v>
      </c>
      <c r="D17" s="22" t="s">
        <v>260</v>
      </c>
      <c r="E17" s="7" t="s">
        <v>261</v>
      </c>
      <c r="F17" s="7" t="s">
        <v>262</v>
      </c>
      <c r="G17" s="7" t="s">
        <v>263</v>
      </c>
      <c r="H17" s="7" t="s">
        <v>264</v>
      </c>
      <c r="I17" s="24" t="s">
        <v>206</v>
      </c>
      <c r="J17" s="26">
        <v>46294</v>
      </c>
      <c r="K17" s="24" t="s">
        <v>92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11.95" customHeight="1">
      <c r="A18" s="24" t="s">
        <v>265</v>
      </c>
      <c r="B18" s="29" t="s">
        <v>17</v>
      </c>
      <c r="C18" s="22" t="s">
        <v>226</v>
      </c>
      <c r="D18" s="22" t="s">
        <v>266</v>
      </c>
      <c r="E18" s="7" t="s">
        <v>267</v>
      </c>
      <c r="F18" s="7" t="s">
        <v>268</v>
      </c>
      <c r="G18" s="7" t="s">
        <v>269</v>
      </c>
      <c r="H18" s="7" t="s">
        <v>270</v>
      </c>
      <c r="I18" s="24" t="s">
        <v>193</v>
      </c>
      <c r="J18" s="26">
        <v>46294</v>
      </c>
      <c r="K18" s="24" t="s">
        <v>92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</sheetData>
  <phoneticPr fontId="15"/>
  <conditionalFormatting sqref="K5:K18">
    <cfRule type="containsText" dxfId="23" priority="5" operator="containsText" text="完了"/>
    <cfRule type="containsText" dxfId="22" priority="6" operator="containsText" text="進行中"/>
    <cfRule type="containsText" dxfId="21" priority="7" operator="containsText" text="確認待ち"/>
    <cfRule type="containsText" dxfId="20" priority="8" operator="containsText" text="保留"/>
  </conditionalFormatting>
  <conditionalFormatting sqref="Q5:Q18">
    <cfRule type="containsText" dxfId="19" priority="1" operator="containsText" text="完了"/>
    <cfRule type="containsText" dxfId="18" priority="2" operator="containsText" text="進行中"/>
    <cfRule type="containsText" dxfId="17" priority="3" operator="containsText" text="確認待ち"/>
    <cfRule type="containsText" dxfId="16" priority="4" operator="containsText" text="保留"/>
  </conditionalFormatting>
  <dataValidations count="2">
    <dataValidation type="list" sqref="Q5:Q18 K5:K18" xr:uid="{00000000-0002-0000-0200-000000000000}">
      <formula1>"未着手,進行中,確認待ち,完了,保留"</formula1>
    </dataValidation>
    <dataValidation type="list" sqref="P5:P18 I5:I18" xr:uid="{00000000-0002-0000-0200-000001000000}">
      <formula1>"最優先,高,中,低"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AS80"/>
  <sheetViews>
    <sheetView showGridLines="0" tabSelected="1" workbookViewId="0">
      <pane xSplit="4" ySplit="4" topLeftCell="E26" activePane="bottomRight" state="frozen"/>
      <selection pane="bottomRight" activeCell="B27" sqref="B27:B28"/>
      <selection pane="bottomLeft"/>
      <selection pane="topRight"/>
    </sheetView>
  </sheetViews>
  <sheetFormatPr defaultColWidth="8.875" defaultRowHeight="14.1"/>
  <cols>
    <col min="1" max="1" width="10" customWidth="1"/>
    <col min="2" max="2" width="16" customWidth="1"/>
    <col min="3" max="3" width="17" customWidth="1"/>
    <col min="4" max="4" width="31" customWidth="1"/>
    <col min="5" max="5" width="60" customWidth="1"/>
    <col min="6" max="6" width="44" customWidth="1"/>
    <col min="7" max="7" width="46" customWidth="1"/>
    <col min="8" max="8" width="48" customWidth="1"/>
    <col min="9" max="9" width="10" customWidth="1"/>
    <col min="10" max="10" width="13" customWidth="1"/>
    <col min="11" max="11" width="11" customWidth="1"/>
    <col min="12" max="12" width="15" customWidth="1"/>
    <col min="13" max="13" width="28" customWidth="1"/>
    <col min="14" max="15" width="13" customWidth="1"/>
    <col min="16" max="16" width="10" customWidth="1"/>
    <col min="17" max="17" width="11" customWidth="1"/>
  </cols>
  <sheetData>
    <row r="1" spans="1: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27.95" customHeight="1">
      <c r="A2" s="30" t="s">
        <v>271</v>
      </c>
      <c r="B2" s="31"/>
      <c r="C2" s="31"/>
      <c r="D2" s="31"/>
      <c r="E2" s="31"/>
      <c r="F2" s="31"/>
      <c r="G2" s="31"/>
      <c r="H2" s="31"/>
      <c r="I2" s="31"/>
      <c r="J2" s="31"/>
      <c r="K2" s="3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24" customHeight="1">
      <c r="A3" s="17" t="s">
        <v>272</v>
      </c>
      <c r="B3" s="1"/>
      <c r="C3" s="1"/>
      <c r="D3" s="1"/>
      <c r="E3" s="1"/>
      <c r="F3" s="1"/>
      <c r="G3" s="1"/>
      <c r="H3" s="1"/>
      <c r="I3" s="1"/>
      <c r="J3" s="1"/>
      <c r="K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33.950000000000003" customHeight="1">
      <c r="A4" s="32" t="s">
        <v>273</v>
      </c>
      <c r="B4" s="32" t="s">
        <v>177</v>
      </c>
      <c r="C4" s="32" t="s">
        <v>178</v>
      </c>
      <c r="D4" s="32" t="s">
        <v>76</v>
      </c>
      <c r="E4" s="32" t="s">
        <v>274</v>
      </c>
      <c r="F4" s="32" t="s">
        <v>275</v>
      </c>
      <c r="G4" s="32" t="s">
        <v>182</v>
      </c>
      <c r="H4" s="32" t="s">
        <v>276</v>
      </c>
      <c r="I4" s="32" t="s">
        <v>184</v>
      </c>
      <c r="J4" s="32" t="s">
        <v>277</v>
      </c>
      <c r="K4" s="32" t="s">
        <v>84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16.1" customHeight="1">
      <c r="A5" s="23" t="s">
        <v>278</v>
      </c>
      <c r="B5" s="27" t="s">
        <v>64</v>
      </c>
      <c r="C5" s="21" t="s">
        <v>279</v>
      </c>
      <c r="D5" s="21" t="s">
        <v>280</v>
      </c>
      <c r="E5" s="6" t="s">
        <v>281</v>
      </c>
      <c r="F5" s="6" t="s">
        <v>282</v>
      </c>
      <c r="G5" s="6" t="s">
        <v>283</v>
      </c>
      <c r="H5" s="6" t="s">
        <v>284</v>
      </c>
      <c r="I5" s="23" t="s">
        <v>193</v>
      </c>
      <c r="J5" s="25">
        <v>46298</v>
      </c>
      <c r="K5" s="23" t="s">
        <v>92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116.1" customHeight="1">
      <c r="A6" s="24" t="s">
        <v>285</v>
      </c>
      <c r="B6" s="28" t="s">
        <v>64</v>
      </c>
      <c r="C6" s="22" t="s">
        <v>279</v>
      </c>
      <c r="D6" s="22" t="s">
        <v>286</v>
      </c>
      <c r="E6" s="7" t="s">
        <v>287</v>
      </c>
      <c r="F6" s="7" t="s">
        <v>288</v>
      </c>
      <c r="G6" s="7" t="s">
        <v>289</v>
      </c>
      <c r="H6" s="7" t="s">
        <v>290</v>
      </c>
      <c r="I6" s="24" t="s">
        <v>193</v>
      </c>
      <c r="J6" s="26">
        <v>46298</v>
      </c>
      <c r="K6" s="24" t="s">
        <v>92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16.1" customHeight="1">
      <c r="A7" s="24" t="s">
        <v>291</v>
      </c>
      <c r="B7" s="33" t="s">
        <v>29</v>
      </c>
      <c r="C7" s="22" t="s">
        <v>187</v>
      </c>
      <c r="D7" s="22" t="s">
        <v>292</v>
      </c>
      <c r="E7" s="7" t="s">
        <v>293</v>
      </c>
      <c r="F7" s="7" t="s">
        <v>294</v>
      </c>
      <c r="G7" s="7" t="s">
        <v>295</v>
      </c>
      <c r="H7" s="7" t="s">
        <v>296</v>
      </c>
      <c r="I7" s="24" t="s">
        <v>193</v>
      </c>
      <c r="J7" s="26">
        <v>46288</v>
      </c>
      <c r="K7" s="24" t="s">
        <v>92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116.1" customHeight="1">
      <c r="A8" s="24" t="s">
        <v>297</v>
      </c>
      <c r="B8" s="33" t="s">
        <v>29</v>
      </c>
      <c r="C8" s="22" t="s">
        <v>187</v>
      </c>
      <c r="D8" s="22" t="s">
        <v>298</v>
      </c>
      <c r="E8" s="7" t="s">
        <v>299</v>
      </c>
      <c r="F8" s="7" t="s">
        <v>300</v>
      </c>
      <c r="G8" s="7" t="s">
        <v>301</v>
      </c>
      <c r="H8" s="7" t="s">
        <v>302</v>
      </c>
      <c r="I8" s="24" t="s">
        <v>193</v>
      </c>
      <c r="J8" s="26">
        <v>46286</v>
      </c>
      <c r="K8" s="24" t="s">
        <v>303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116.1" customHeight="1">
      <c r="A9" s="24" t="s">
        <v>304</v>
      </c>
      <c r="B9" s="28" t="s">
        <v>64</v>
      </c>
      <c r="C9" s="22" t="s">
        <v>305</v>
      </c>
      <c r="D9" s="22" t="s">
        <v>306</v>
      </c>
      <c r="E9" s="7" t="s">
        <v>307</v>
      </c>
      <c r="F9" s="7" t="s">
        <v>308</v>
      </c>
      <c r="G9" s="7" t="s">
        <v>309</v>
      </c>
      <c r="H9" s="7" t="s">
        <v>310</v>
      </c>
      <c r="I9" s="24" t="s">
        <v>193</v>
      </c>
      <c r="J9" s="26">
        <v>46293</v>
      </c>
      <c r="K9" s="24" t="s">
        <v>92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116.1" customHeight="1">
      <c r="A10" s="24" t="s">
        <v>311</v>
      </c>
      <c r="B10" s="33" t="s">
        <v>29</v>
      </c>
      <c r="C10" s="22" t="s">
        <v>187</v>
      </c>
      <c r="D10" s="22" t="s">
        <v>312</v>
      </c>
      <c r="E10" s="7" t="s">
        <v>313</v>
      </c>
      <c r="F10" s="7" t="s">
        <v>314</v>
      </c>
      <c r="G10" s="7" t="s">
        <v>315</v>
      </c>
      <c r="H10" s="7" t="s">
        <v>316</v>
      </c>
      <c r="I10" s="24" t="s">
        <v>206</v>
      </c>
      <c r="J10" s="26">
        <v>46291</v>
      </c>
      <c r="K10" s="24" t="s">
        <v>317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16.1" customHeight="1">
      <c r="A11" s="24" t="s">
        <v>318</v>
      </c>
      <c r="B11" s="33" t="s">
        <v>29</v>
      </c>
      <c r="C11" s="22" t="s">
        <v>187</v>
      </c>
      <c r="D11" s="22" t="s">
        <v>319</v>
      </c>
      <c r="E11" s="7" t="s">
        <v>320</v>
      </c>
      <c r="F11" s="7" t="s">
        <v>321</v>
      </c>
      <c r="G11" s="7" t="s">
        <v>322</v>
      </c>
      <c r="H11" s="7" t="s">
        <v>323</v>
      </c>
      <c r="I11" s="24" t="s">
        <v>193</v>
      </c>
      <c r="J11" s="26">
        <v>46289</v>
      </c>
      <c r="K11" s="24" t="s">
        <v>324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116.1" customHeight="1">
      <c r="A12" s="24" t="s">
        <v>325</v>
      </c>
      <c r="B12" s="79" t="s">
        <v>35</v>
      </c>
      <c r="C12" s="22" t="s">
        <v>187</v>
      </c>
      <c r="D12" s="22" t="s">
        <v>326</v>
      </c>
      <c r="E12" s="7" t="s">
        <v>327</v>
      </c>
      <c r="F12" s="7" t="s">
        <v>328</v>
      </c>
      <c r="G12" s="7" t="s">
        <v>329</v>
      </c>
      <c r="H12" s="7" t="s">
        <v>330</v>
      </c>
      <c r="I12" s="24" t="s">
        <v>193</v>
      </c>
      <c r="J12" s="26">
        <v>46289</v>
      </c>
      <c r="K12" s="24" t="s">
        <v>317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ht="116.1" customHeight="1">
      <c r="A13" s="24" t="s">
        <v>331</v>
      </c>
      <c r="B13" s="33" t="s">
        <v>29</v>
      </c>
      <c r="C13" s="22" t="s">
        <v>187</v>
      </c>
      <c r="D13" s="22" t="s">
        <v>332</v>
      </c>
      <c r="E13" s="7" t="s">
        <v>333</v>
      </c>
      <c r="F13" s="7" t="s">
        <v>334</v>
      </c>
      <c r="G13" s="7" t="s">
        <v>335</v>
      </c>
      <c r="H13" s="7" t="s">
        <v>336</v>
      </c>
      <c r="I13" s="24" t="s">
        <v>206</v>
      </c>
      <c r="J13" s="26">
        <v>46293</v>
      </c>
      <c r="K13" s="24" t="s">
        <v>303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116.1" customHeight="1">
      <c r="A14" s="24" t="s">
        <v>337</v>
      </c>
      <c r="B14" s="34" t="s">
        <v>23</v>
      </c>
      <c r="C14" s="22" t="s">
        <v>226</v>
      </c>
      <c r="D14" s="22" t="s">
        <v>338</v>
      </c>
      <c r="E14" s="7" t="s">
        <v>339</v>
      </c>
      <c r="F14" s="7" t="s">
        <v>340</v>
      </c>
      <c r="G14" s="7" t="s">
        <v>341</v>
      </c>
      <c r="H14" s="7" t="s">
        <v>342</v>
      </c>
      <c r="I14" s="24" t="s">
        <v>193</v>
      </c>
      <c r="J14" s="26">
        <v>46286</v>
      </c>
      <c r="K14" s="24" t="s">
        <v>324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ht="116.1" customHeight="1">
      <c r="A15" s="24" t="s">
        <v>343</v>
      </c>
      <c r="B15" s="80" t="s">
        <v>23</v>
      </c>
      <c r="C15" s="22" t="s">
        <v>226</v>
      </c>
      <c r="D15" s="22" t="s">
        <v>344</v>
      </c>
      <c r="E15" s="7" t="s">
        <v>345</v>
      </c>
      <c r="F15" s="7" t="s">
        <v>346</v>
      </c>
      <c r="G15" s="7" t="s">
        <v>347</v>
      </c>
      <c r="H15" s="7" t="s">
        <v>348</v>
      </c>
      <c r="I15" s="24" t="s">
        <v>206</v>
      </c>
      <c r="J15" s="26">
        <v>46289</v>
      </c>
      <c r="K15" s="24" t="s">
        <v>92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ht="116.1" customHeight="1">
      <c r="A16" s="24" t="s">
        <v>349</v>
      </c>
      <c r="B16" s="79" t="s">
        <v>35</v>
      </c>
      <c r="C16" s="22" t="s">
        <v>226</v>
      </c>
      <c r="D16" s="22" t="s">
        <v>350</v>
      </c>
      <c r="E16" s="7" t="s">
        <v>351</v>
      </c>
      <c r="F16" s="7" t="s">
        <v>352</v>
      </c>
      <c r="G16" s="7" t="s">
        <v>353</v>
      </c>
      <c r="H16" s="7" t="s">
        <v>354</v>
      </c>
      <c r="I16" s="24" t="s">
        <v>193</v>
      </c>
      <c r="J16" s="26">
        <v>46297</v>
      </c>
      <c r="K16" s="24" t="s">
        <v>92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116.1" customHeight="1">
      <c r="A17" s="24" t="s">
        <v>355</v>
      </c>
      <c r="B17" s="79" t="s">
        <v>35</v>
      </c>
      <c r="C17" s="22" t="s">
        <v>226</v>
      </c>
      <c r="D17" s="22" t="s">
        <v>356</v>
      </c>
      <c r="E17" s="7" t="s">
        <v>357</v>
      </c>
      <c r="F17" s="7" t="s">
        <v>358</v>
      </c>
      <c r="G17" s="7" t="s">
        <v>359</v>
      </c>
      <c r="H17" s="7" t="s">
        <v>360</v>
      </c>
      <c r="I17" s="24" t="s">
        <v>206</v>
      </c>
      <c r="J17" s="26">
        <v>46295</v>
      </c>
      <c r="K17" s="24" t="s">
        <v>92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116.1" customHeight="1">
      <c r="A18" s="24" t="s">
        <v>361</v>
      </c>
      <c r="B18" s="79" t="s">
        <v>35</v>
      </c>
      <c r="C18" s="22" t="s">
        <v>226</v>
      </c>
      <c r="D18" s="22" t="s">
        <v>362</v>
      </c>
      <c r="E18" s="7" t="s">
        <v>363</v>
      </c>
      <c r="F18" s="7" t="s">
        <v>364</v>
      </c>
      <c r="G18" s="7" t="s">
        <v>365</v>
      </c>
      <c r="H18" s="7" t="s">
        <v>366</v>
      </c>
      <c r="I18" s="24" t="s">
        <v>206</v>
      </c>
      <c r="J18" s="26">
        <v>46296</v>
      </c>
      <c r="K18" s="24" t="s">
        <v>92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ht="116.1" customHeight="1">
      <c r="A19" s="24" t="s">
        <v>367</v>
      </c>
      <c r="B19" s="79" t="s">
        <v>35</v>
      </c>
      <c r="C19" s="22" t="s">
        <v>226</v>
      </c>
      <c r="D19" s="22" t="s">
        <v>368</v>
      </c>
      <c r="E19" s="7" t="s">
        <v>369</v>
      </c>
      <c r="F19" s="7" t="s">
        <v>370</v>
      </c>
      <c r="G19" s="7" t="s">
        <v>371</v>
      </c>
      <c r="H19" s="7" t="s">
        <v>372</v>
      </c>
      <c r="I19" s="24" t="s">
        <v>206</v>
      </c>
      <c r="J19" s="26">
        <v>46297</v>
      </c>
      <c r="K19" s="24" t="s">
        <v>92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ht="116.1" customHeight="1">
      <c r="A20" s="24" t="s">
        <v>373</v>
      </c>
      <c r="B20" s="79" t="s">
        <v>35</v>
      </c>
      <c r="C20" s="22" t="s">
        <v>226</v>
      </c>
      <c r="D20" s="22" t="s">
        <v>374</v>
      </c>
      <c r="E20" s="7" t="s">
        <v>375</v>
      </c>
      <c r="F20" s="7" t="s">
        <v>376</v>
      </c>
      <c r="G20" s="7" t="s">
        <v>377</v>
      </c>
      <c r="H20" s="7" t="s">
        <v>378</v>
      </c>
      <c r="I20" s="24" t="s">
        <v>206</v>
      </c>
      <c r="J20" s="26">
        <v>46297</v>
      </c>
      <c r="K20" s="24" t="s">
        <v>92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ht="116.1" customHeight="1">
      <c r="A21" s="24" t="s">
        <v>379</v>
      </c>
      <c r="B21" s="28"/>
      <c r="C21" s="22" t="s">
        <v>279</v>
      </c>
      <c r="D21" s="22" t="s">
        <v>380</v>
      </c>
      <c r="E21" s="7" t="s">
        <v>381</v>
      </c>
      <c r="F21" s="7" t="s">
        <v>382</v>
      </c>
      <c r="G21" s="7" t="s">
        <v>383</v>
      </c>
      <c r="H21" s="7" t="s">
        <v>384</v>
      </c>
      <c r="I21" s="24" t="s">
        <v>206</v>
      </c>
      <c r="J21" s="26">
        <v>46300</v>
      </c>
      <c r="K21" s="24" t="s">
        <v>385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ht="116.1" customHeight="1">
      <c r="A22" s="24" t="s">
        <v>386</v>
      </c>
      <c r="B22" s="28" t="s">
        <v>64</v>
      </c>
      <c r="C22" s="22" t="s">
        <v>279</v>
      </c>
      <c r="D22" s="22" t="s">
        <v>387</v>
      </c>
      <c r="E22" s="7" t="s">
        <v>388</v>
      </c>
      <c r="F22" s="7" t="s">
        <v>389</v>
      </c>
      <c r="G22" s="7" t="s">
        <v>390</v>
      </c>
      <c r="H22" s="7" t="s">
        <v>391</v>
      </c>
      <c r="I22" s="24" t="s">
        <v>193</v>
      </c>
      <c r="J22" s="26">
        <v>46300</v>
      </c>
      <c r="K22" s="24" t="s">
        <v>92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116.1" customHeight="1">
      <c r="A23" s="24" t="s">
        <v>392</v>
      </c>
      <c r="B23" s="33" t="s">
        <v>29</v>
      </c>
      <c r="C23" s="22" t="s">
        <v>187</v>
      </c>
      <c r="D23" s="22" t="s">
        <v>393</v>
      </c>
      <c r="E23" s="7" t="s">
        <v>394</v>
      </c>
      <c r="F23" s="7" t="s">
        <v>395</v>
      </c>
      <c r="G23" s="7" t="s">
        <v>396</v>
      </c>
      <c r="H23" s="7" t="s">
        <v>397</v>
      </c>
      <c r="I23" s="24" t="s">
        <v>206</v>
      </c>
      <c r="J23" s="26">
        <v>46292</v>
      </c>
      <c r="K23" s="24" t="s">
        <v>92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ht="116.1" customHeight="1">
      <c r="A24" s="24" t="s">
        <v>398</v>
      </c>
      <c r="B24" s="33" t="s">
        <v>29</v>
      </c>
      <c r="C24" s="22" t="s">
        <v>399</v>
      </c>
      <c r="D24" s="22" t="s">
        <v>400</v>
      </c>
      <c r="E24" s="7" t="s">
        <v>401</v>
      </c>
      <c r="F24" s="7" t="s">
        <v>402</v>
      </c>
      <c r="G24" s="7" t="s">
        <v>403</v>
      </c>
      <c r="H24" s="7" t="s">
        <v>404</v>
      </c>
      <c r="I24" s="24" t="s">
        <v>405</v>
      </c>
      <c r="J24" s="26">
        <v>46290</v>
      </c>
      <c r="K24" s="24" t="s">
        <v>92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ht="116.1" customHeight="1">
      <c r="A25" s="24" t="s">
        <v>406</v>
      </c>
      <c r="B25" s="33" t="s">
        <v>29</v>
      </c>
      <c r="C25" s="22" t="s">
        <v>407</v>
      </c>
      <c r="D25" s="22" t="s">
        <v>408</v>
      </c>
      <c r="E25" s="7" t="s">
        <v>409</v>
      </c>
      <c r="F25" s="7" t="s">
        <v>410</v>
      </c>
      <c r="G25" s="7" t="s">
        <v>411</v>
      </c>
      <c r="H25" s="7" t="s">
        <v>412</v>
      </c>
      <c r="I25" s="24" t="s">
        <v>206</v>
      </c>
      <c r="J25" s="26">
        <v>46291</v>
      </c>
      <c r="K25" s="24" t="s">
        <v>92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ht="116.1" customHeight="1">
      <c r="A26" s="24" t="s">
        <v>413</v>
      </c>
      <c r="B26" s="80" t="s">
        <v>23</v>
      </c>
      <c r="C26" s="22" t="s">
        <v>414</v>
      </c>
      <c r="D26" s="22" t="s">
        <v>415</v>
      </c>
      <c r="E26" s="7" t="s">
        <v>416</v>
      </c>
      <c r="F26" s="7" t="s">
        <v>417</v>
      </c>
      <c r="G26" s="7" t="s">
        <v>418</v>
      </c>
      <c r="H26" s="7" t="s">
        <v>419</v>
      </c>
      <c r="I26" s="24" t="s">
        <v>405</v>
      </c>
      <c r="J26" s="26">
        <v>46294</v>
      </c>
      <c r="K26" s="24" t="s">
        <v>92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ht="116.1" customHeight="1">
      <c r="A27" s="24" t="s">
        <v>420</v>
      </c>
      <c r="B27" s="79" t="s">
        <v>35</v>
      </c>
      <c r="C27" s="22" t="s">
        <v>279</v>
      </c>
      <c r="D27" s="22" t="s">
        <v>421</v>
      </c>
      <c r="E27" s="7" t="s">
        <v>422</v>
      </c>
      <c r="F27" s="7" t="s">
        <v>423</v>
      </c>
      <c r="G27" s="7" t="s">
        <v>424</v>
      </c>
      <c r="H27" s="7" t="s">
        <v>425</v>
      </c>
      <c r="I27" s="24" t="s">
        <v>193</v>
      </c>
      <c r="J27" s="26">
        <v>46304</v>
      </c>
      <c r="K27" s="24" t="s">
        <v>92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ht="116.1" customHeight="1">
      <c r="A28" s="24" t="s">
        <v>426</v>
      </c>
      <c r="B28" s="79" t="s">
        <v>35</v>
      </c>
      <c r="C28" s="22" t="s">
        <v>279</v>
      </c>
      <c r="D28" s="22" t="s">
        <v>427</v>
      </c>
      <c r="E28" s="7" t="s">
        <v>428</v>
      </c>
      <c r="F28" s="7" t="s">
        <v>429</v>
      </c>
      <c r="G28" s="7" t="s">
        <v>430</v>
      </c>
      <c r="H28" s="7" t="s">
        <v>431</v>
      </c>
      <c r="I28" s="24" t="s">
        <v>193</v>
      </c>
      <c r="J28" s="26">
        <v>46308</v>
      </c>
      <c r="K28" s="24" t="s">
        <v>92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t="116.1" customHeight="1">
      <c r="A29" s="24" t="s">
        <v>432</v>
      </c>
      <c r="B29" s="28" t="s">
        <v>64</v>
      </c>
      <c r="C29" s="22" t="s">
        <v>279</v>
      </c>
      <c r="D29" s="22" t="s">
        <v>433</v>
      </c>
      <c r="E29" s="7" t="s">
        <v>434</v>
      </c>
      <c r="F29" s="7" t="s">
        <v>435</v>
      </c>
      <c r="G29" s="7" t="s">
        <v>436</v>
      </c>
      <c r="H29" s="7" t="s">
        <v>437</v>
      </c>
      <c r="I29" s="24" t="s">
        <v>206</v>
      </c>
      <c r="J29" s="26">
        <v>46308</v>
      </c>
      <c r="K29" s="24" t="s">
        <v>92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t="116.1" customHeight="1">
      <c r="A30" s="24" t="s">
        <v>438</v>
      </c>
      <c r="B30" s="33" t="s">
        <v>29</v>
      </c>
      <c r="C30" s="22" t="s">
        <v>407</v>
      </c>
      <c r="D30" s="22" t="s">
        <v>439</v>
      </c>
      <c r="E30" s="7" t="s">
        <v>440</v>
      </c>
      <c r="F30" s="7" t="s">
        <v>441</v>
      </c>
      <c r="G30" s="7" t="s">
        <v>442</v>
      </c>
      <c r="H30" s="7" t="s">
        <v>443</v>
      </c>
      <c r="I30" s="24" t="s">
        <v>206</v>
      </c>
      <c r="J30" s="26">
        <v>46300</v>
      </c>
      <c r="K30" s="24" t="s">
        <v>92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t="93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</sheetData>
  <phoneticPr fontId="15"/>
  <conditionalFormatting sqref="K5:K30">
    <cfRule type="containsText" dxfId="15" priority="9" operator="containsText" text="完了"/>
    <cfRule type="containsText" dxfId="14" priority="10" operator="containsText" text="進行中"/>
    <cfRule type="containsText" dxfId="13" priority="11" operator="containsText" text="確認待ち"/>
    <cfRule type="containsText" dxfId="12" priority="12" operator="containsText" text="保留"/>
  </conditionalFormatting>
  <conditionalFormatting sqref="Q5:Q31">
    <cfRule type="containsText" dxfId="11" priority="1" operator="containsText" text="完了"/>
    <cfRule type="containsText" dxfId="10" priority="2" operator="containsText" text="進行中"/>
    <cfRule type="containsText" dxfId="9" priority="3" operator="containsText" text="確認待ち"/>
    <cfRule type="containsText" dxfId="8" priority="4" operator="containsText" text="保留"/>
  </conditionalFormatting>
  <dataValidations count="2">
    <dataValidation type="list" sqref="K5:K30 Q5:Q31" xr:uid="{00000000-0002-0000-0300-000000000000}">
      <formula1>"未着手,進行中,確認待ち,完了,保留"</formula1>
    </dataValidation>
    <dataValidation type="list" sqref="I5:I30 P5:P31" xr:uid="{00000000-0002-0000-0300-000001000000}">
      <formula1>"最優先,高,中,低"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64A2"/>
  </sheetPr>
  <dimension ref="A1:K40"/>
  <sheetViews>
    <sheetView showGridLines="0" workbookViewId="0">
      <pane xSplit="4" ySplit="4" topLeftCell="E5" activePane="bottomRight" state="frozen"/>
      <selection pane="bottomRight" activeCell="E5" sqref="E5"/>
      <selection pane="bottomLeft"/>
      <selection pane="topRight"/>
    </sheetView>
  </sheetViews>
  <sheetFormatPr defaultColWidth="8.875" defaultRowHeight="14.1"/>
  <cols>
    <col min="1" max="1" width="10" customWidth="1"/>
    <col min="2" max="2" width="19" customWidth="1"/>
    <col min="3" max="3" width="17" customWidth="1"/>
    <col min="4" max="4" width="31" customWidth="1"/>
    <col min="5" max="5" width="57" customWidth="1"/>
    <col min="6" max="6" width="43" customWidth="1"/>
    <col min="7" max="7" width="47" customWidth="1"/>
    <col min="8" max="8" width="52" customWidth="1"/>
    <col min="9" max="9" width="10" customWidth="1"/>
    <col min="10" max="10" width="13" customWidth="1"/>
    <col min="11" max="11" width="11" customWidth="1"/>
    <col min="12" max="12" width="17" customWidth="1"/>
    <col min="13" max="13" width="30" customWidth="1"/>
    <col min="14" max="15" width="13" customWidth="1"/>
    <col min="16" max="16" width="10" customWidth="1"/>
    <col min="17" max="17" width="11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35" t="s">
        <v>444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24" customHeight="1">
      <c r="A3" s="17" t="s">
        <v>445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3.950000000000003" customHeight="1">
      <c r="A4" s="37" t="s">
        <v>273</v>
      </c>
      <c r="B4" s="37" t="s">
        <v>177</v>
      </c>
      <c r="C4" s="37" t="s">
        <v>178</v>
      </c>
      <c r="D4" s="37" t="s">
        <v>76</v>
      </c>
      <c r="E4" s="37" t="s">
        <v>446</v>
      </c>
      <c r="F4" s="37" t="s">
        <v>275</v>
      </c>
      <c r="G4" s="37" t="s">
        <v>182</v>
      </c>
      <c r="H4" s="37" t="s">
        <v>447</v>
      </c>
      <c r="I4" s="37" t="s">
        <v>184</v>
      </c>
      <c r="J4" s="37" t="s">
        <v>277</v>
      </c>
      <c r="K4" s="37" t="s">
        <v>84</v>
      </c>
    </row>
    <row r="5" spans="1:11" ht="111.95" customHeight="1">
      <c r="A5" s="23" t="s">
        <v>448</v>
      </c>
      <c r="B5" s="38" t="s">
        <v>88</v>
      </c>
      <c r="C5" s="21" t="s">
        <v>407</v>
      </c>
      <c r="D5" s="21" t="s">
        <v>449</v>
      </c>
      <c r="E5" s="6" t="s">
        <v>450</v>
      </c>
      <c r="F5" s="6" t="s">
        <v>451</v>
      </c>
      <c r="G5" s="6" t="s">
        <v>452</v>
      </c>
      <c r="H5" s="6" t="s">
        <v>453</v>
      </c>
      <c r="I5" s="23" t="s">
        <v>206</v>
      </c>
      <c r="J5" s="25">
        <v>46298</v>
      </c>
      <c r="K5" s="23" t="s">
        <v>92</v>
      </c>
    </row>
    <row r="6" spans="1:11" ht="111.95" customHeight="1">
      <c r="A6" s="24" t="s">
        <v>454</v>
      </c>
      <c r="B6" s="34" t="s">
        <v>88</v>
      </c>
      <c r="C6" s="22" t="s">
        <v>407</v>
      </c>
      <c r="D6" s="22" t="s">
        <v>455</v>
      </c>
      <c r="E6" s="7" t="s">
        <v>456</v>
      </c>
      <c r="F6" s="7" t="s">
        <v>457</v>
      </c>
      <c r="G6" s="7" t="s">
        <v>458</v>
      </c>
      <c r="H6" s="7" t="s">
        <v>459</v>
      </c>
      <c r="I6" s="24" t="s">
        <v>206</v>
      </c>
      <c r="J6" s="26">
        <v>46298</v>
      </c>
      <c r="K6" s="24" t="s">
        <v>92</v>
      </c>
    </row>
    <row r="7" spans="1:11" ht="111.95" customHeight="1">
      <c r="A7" s="24" t="s">
        <v>460</v>
      </c>
      <c r="B7" s="34" t="s">
        <v>88</v>
      </c>
      <c r="C7" s="22" t="s">
        <v>407</v>
      </c>
      <c r="D7" s="22" t="s">
        <v>461</v>
      </c>
      <c r="E7" s="7" t="s">
        <v>462</v>
      </c>
      <c r="F7" s="7" t="s">
        <v>463</v>
      </c>
      <c r="G7" s="7" t="s">
        <v>464</v>
      </c>
      <c r="H7" s="7" t="s">
        <v>465</v>
      </c>
      <c r="I7" s="24" t="s">
        <v>405</v>
      </c>
      <c r="J7" s="26">
        <v>46298</v>
      </c>
      <c r="K7" s="24" t="s">
        <v>92</v>
      </c>
    </row>
    <row r="8" spans="1:11" ht="111.95" customHeight="1">
      <c r="A8" s="24" t="s">
        <v>466</v>
      </c>
      <c r="B8" s="34" t="s">
        <v>88</v>
      </c>
      <c r="C8" s="22" t="s">
        <v>407</v>
      </c>
      <c r="D8" s="22" t="s">
        <v>467</v>
      </c>
      <c r="E8" s="7" t="s">
        <v>468</v>
      </c>
      <c r="F8" s="7" t="s">
        <v>469</v>
      </c>
      <c r="G8" s="7" t="s">
        <v>470</v>
      </c>
      <c r="H8" s="7" t="s">
        <v>471</v>
      </c>
      <c r="I8" s="24" t="s">
        <v>206</v>
      </c>
      <c r="J8" s="26">
        <v>46298</v>
      </c>
      <c r="K8" s="24" t="s">
        <v>92</v>
      </c>
    </row>
    <row r="9" spans="1:11" ht="111.95" customHeight="1">
      <c r="A9" s="24" t="s">
        <v>472</v>
      </c>
      <c r="B9" s="28" t="s">
        <v>95</v>
      </c>
      <c r="C9" s="22" t="s">
        <v>473</v>
      </c>
      <c r="D9" s="22" t="s">
        <v>474</v>
      </c>
      <c r="E9" s="7" t="s">
        <v>475</v>
      </c>
      <c r="F9" s="7" t="s">
        <v>476</v>
      </c>
      <c r="G9" s="7" t="s">
        <v>477</v>
      </c>
      <c r="H9" s="7" t="s">
        <v>478</v>
      </c>
      <c r="I9" s="24" t="s">
        <v>206</v>
      </c>
      <c r="J9" s="26">
        <v>46298</v>
      </c>
      <c r="K9" s="24" t="s">
        <v>92</v>
      </c>
    </row>
    <row r="10" spans="1:11" ht="111.95" customHeight="1">
      <c r="A10" s="24" t="s">
        <v>479</v>
      </c>
      <c r="B10" s="28" t="s">
        <v>95</v>
      </c>
      <c r="C10" s="22" t="s">
        <v>480</v>
      </c>
      <c r="D10" s="22" t="s">
        <v>481</v>
      </c>
      <c r="E10" s="7" t="s">
        <v>482</v>
      </c>
      <c r="F10" s="7" t="s">
        <v>483</v>
      </c>
      <c r="G10" s="7" t="s">
        <v>484</v>
      </c>
      <c r="H10" s="7" t="s">
        <v>485</v>
      </c>
      <c r="I10" s="24" t="s">
        <v>206</v>
      </c>
      <c r="J10" s="26">
        <v>46298</v>
      </c>
      <c r="K10" s="24" t="s">
        <v>92</v>
      </c>
    </row>
    <row r="11" spans="1:11" ht="111.95" customHeight="1">
      <c r="A11" s="24" t="s">
        <v>486</v>
      </c>
      <c r="B11" s="28" t="s">
        <v>95</v>
      </c>
      <c r="C11" s="22" t="s">
        <v>487</v>
      </c>
      <c r="D11" s="22" t="s">
        <v>488</v>
      </c>
      <c r="E11" s="7" t="s">
        <v>489</v>
      </c>
      <c r="F11" s="7" t="s">
        <v>490</v>
      </c>
      <c r="G11" s="7" t="s">
        <v>491</v>
      </c>
      <c r="H11" s="7" t="s">
        <v>492</v>
      </c>
      <c r="I11" s="24" t="s">
        <v>206</v>
      </c>
      <c r="J11" s="26">
        <v>46298</v>
      </c>
      <c r="K11" s="24" t="s">
        <v>92</v>
      </c>
    </row>
    <row r="12" spans="1:11" ht="111.95" customHeight="1">
      <c r="A12" s="24" t="s">
        <v>493</v>
      </c>
      <c r="B12" s="34" t="s">
        <v>41</v>
      </c>
      <c r="C12" s="22" t="s">
        <v>42</v>
      </c>
      <c r="D12" s="22" t="s">
        <v>494</v>
      </c>
      <c r="E12" s="7" t="s">
        <v>495</v>
      </c>
      <c r="F12" s="7" t="s">
        <v>496</v>
      </c>
      <c r="G12" s="7" t="s">
        <v>497</v>
      </c>
      <c r="H12" s="7" t="s">
        <v>498</v>
      </c>
      <c r="I12" s="24" t="s">
        <v>193</v>
      </c>
      <c r="J12" s="26">
        <v>46300</v>
      </c>
      <c r="K12" s="24" t="s">
        <v>92</v>
      </c>
    </row>
    <row r="13" spans="1:11" ht="111.95" customHeight="1">
      <c r="A13" s="24" t="s">
        <v>499</v>
      </c>
      <c r="B13" s="28" t="s">
        <v>95</v>
      </c>
      <c r="C13" s="22" t="s">
        <v>42</v>
      </c>
      <c r="D13" s="22" t="s">
        <v>500</v>
      </c>
      <c r="E13" s="7" t="s">
        <v>501</v>
      </c>
      <c r="F13" s="7" t="s">
        <v>502</v>
      </c>
      <c r="G13" s="7" t="s">
        <v>503</v>
      </c>
      <c r="H13" s="7" t="s">
        <v>504</v>
      </c>
      <c r="I13" s="24" t="s">
        <v>193</v>
      </c>
      <c r="J13" s="26">
        <v>46307</v>
      </c>
      <c r="K13" s="24" t="s">
        <v>92</v>
      </c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phoneticPr fontId="15"/>
  <conditionalFormatting sqref="K5:K13">
    <cfRule type="containsText" dxfId="7" priority="5" operator="containsText" text="完了"/>
    <cfRule type="containsText" dxfId="6" priority="6" operator="containsText" text="進行中"/>
    <cfRule type="containsText" dxfId="5" priority="7" operator="containsText" text="確認待ち"/>
    <cfRule type="containsText" dxfId="4" priority="8" operator="containsText" text="保留"/>
  </conditionalFormatting>
  <conditionalFormatting sqref="Q5:Q13">
    <cfRule type="containsText" dxfId="3" priority="1" operator="containsText" text="完了"/>
    <cfRule type="containsText" dxfId="2" priority="2" operator="containsText" text="進行中"/>
    <cfRule type="containsText" dxfId="1" priority="3" operator="containsText" text="確認待ち"/>
    <cfRule type="containsText" dxfId="0" priority="4" operator="containsText" text="保留"/>
  </conditionalFormatting>
  <dataValidations count="2">
    <dataValidation type="list" sqref="P5:P13 I5:I13" xr:uid="{00000000-0002-0000-0400-000000000000}">
      <formula1>"最優先,高,中,低"</formula1>
    </dataValidation>
    <dataValidation type="list" sqref="Q5:Q13 K5:K13" xr:uid="{00000000-0002-0000-0400-000001000000}">
      <formula1>"未着手,進行中,確認待ち,完了,保留"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a68eb6-2592-430f-97cf-f1f9f57655c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E4F94AF87E3EF4F91D34D43C8F9C077" ma:contentTypeVersion="10" ma:contentTypeDescription="新しいドキュメントを作成します。" ma:contentTypeScope="" ma:versionID="7c086026c426f435fbfe59ee6c0067e2">
  <xsd:schema xmlns:xsd="http://www.w3.org/2001/XMLSchema" xmlns:xs="http://www.w3.org/2001/XMLSchema" xmlns:p="http://schemas.microsoft.com/office/2006/metadata/properties" xmlns:ns2="94a68eb6-2592-430f-97cf-f1f9f57655c2" targetNamespace="http://schemas.microsoft.com/office/2006/metadata/properties" ma:root="true" ma:fieldsID="cff9b4a9fc9c2da2b302319f67b32d89" ns2:_="">
    <xsd:import namespace="94a68eb6-2592-430f-97cf-f1f9f57655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68eb6-2592-430f-97cf-f1f9f57655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50FA84-7BBB-4299-BA73-E6E81856A2BC}"/>
</file>

<file path=customXml/itemProps2.xml><?xml version="1.0" encoding="utf-8"?>
<ds:datastoreItem xmlns:ds="http://schemas.openxmlformats.org/officeDocument/2006/customXml" ds:itemID="{3E1FDBF9-6CD7-4A2F-B6DC-79DB25A7EBD2}"/>
</file>

<file path=customXml/itemProps3.xml><?xml version="1.0" encoding="utf-8"?>
<ds:datastoreItem xmlns:ds="http://schemas.openxmlformats.org/officeDocument/2006/customXml" ds:itemID="{2F0CC0EC-AB41-4F02-89D7-F9321A61C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山田 敬陽</cp:lastModifiedBy>
  <cp:revision/>
  <dcterms:created xsi:type="dcterms:W3CDTF">2026-09-17T01:42:00Z</dcterms:created>
  <dcterms:modified xsi:type="dcterms:W3CDTF">2026-09-19T04:25:07Z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0x010100AE4F94AF87E3EF4F91D34D43C8F9C077</vt:lpwstr>
  </property>
</Properties>
</file>